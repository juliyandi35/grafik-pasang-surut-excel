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1660225 (Grafik Pasang Surut Excel)\"/>
    </mc:Choice>
  </mc:AlternateContent>
  <xr:revisionPtr revIDLastSave="0" documentId="13_ncr:1_{DC1C09BF-C9FB-434E-A441-7E7D46CA60F2}" xr6:coauthVersionLast="47" xr6:coauthVersionMax="47" xr10:uidLastSave="{00000000-0000-0000-0000-000000000000}"/>
  <bookViews>
    <workbookView xWindow="-110" yWindow="-110" windowWidth="19420" windowHeight="10300" firstSheet="3" activeTab="4" xr2:uid="{EDB7D966-A2D0-417A-B2E0-78B59F319D21}"/>
  </bookViews>
  <sheets>
    <sheet name="Pasang Surut" sheetId="1" r:id="rId1"/>
    <sheet name="Suhu, Salinitas, DO" sheetId="2" r:id="rId2"/>
    <sheet name="Pasang vs Suhu, Salinitas, DO" sheetId="3" r:id="rId3"/>
    <sheet name="Surut vs Suhu, Salinitas, DO" sheetId="4" r:id="rId4"/>
    <sheet name="PASU vs AVG(Suhu Salinitas DO)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D2" i="5"/>
  <c r="E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D4" i="1" l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4" i="1" s="1"/>
  <c r="D5" i="1"/>
  <c r="D43" i="1" l="1"/>
</calcChain>
</file>

<file path=xl/sharedStrings.xml><?xml version="1.0" encoding="utf-8"?>
<sst xmlns="http://schemas.openxmlformats.org/spreadsheetml/2006/main" count="136" uniqueCount="44">
  <si>
    <t>DATA PASANG SURUT DI PULAU SANROBENGI</t>
  </si>
  <si>
    <t>Jam</t>
  </si>
  <si>
    <t>Pasang</t>
  </si>
  <si>
    <t>Surut</t>
  </si>
  <si>
    <t>H</t>
  </si>
  <si>
    <t>00.00</t>
  </si>
  <si>
    <t>01.00</t>
  </si>
  <si>
    <t>02.00</t>
  </si>
  <si>
    <t>03.00</t>
  </si>
  <si>
    <t>04.00</t>
  </si>
  <si>
    <t>05.00</t>
  </si>
  <si>
    <t>06.00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</si>
  <si>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</si>
  <si>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</si>
  <si>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</si>
  <si>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</si>
  <si>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</si>
  <si>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</si>
  <si>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</si>
  <si>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</si>
  <si>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</si>
  <si>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</si>
  <si>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</si>
  <si>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</si>
  <si>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</si>
  <si>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</si>
  <si>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</si>
  <si>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</si>
  <si>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</si>
  <si>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</si>
  <si>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TOTAL MUKA AIR RATA-RATA =</t>
  </si>
  <si>
    <t>MSL =</t>
  </si>
  <si>
    <t>SUHU</t>
  </si>
  <si>
    <t>SALINITAS</t>
  </si>
  <si>
    <t>DO</t>
  </si>
  <si>
    <t>waktu</t>
  </si>
  <si>
    <t>TITIK</t>
  </si>
  <si>
    <t>PASANG</t>
  </si>
  <si>
    <t>titik</t>
  </si>
  <si>
    <t>pasang</t>
  </si>
  <si>
    <t>SURUT</t>
  </si>
  <si>
    <t>Suhu</t>
  </si>
  <si>
    <t>Salinitas</t>
  </si>
  <si>
    <t>PASU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</si>
</sst>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2" borderId="2" xfId="0" applyFill="1" applyBorder="1"/>
    <xf numFmtId="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3" xfId="0" applyFill="1" applyBorder="1"/>
    <xf numFmtId="49" fontId="0" fillId="0" borderId="2" xfId="0" applyNumberForma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91089836697971"/>
          <c:y val="5.7894736842105263E-2"/>
          <c:w val="0.7056463573121321"/>
          <c:h val="0.64900745959386652"/>
        </c:manualLayout>
      </c:layout>
      <c:lineChart>
        <c:grouping val="standard"/>
        <c:varyColors val="0"/>
        <c:ser>
          <c:idx val="1"/>
          <c:order val="1"/>
          <c:tx>
            <c:v>MSL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[1]Sheet1!$D$44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[1]Sheet1!$A$4:$A$42</c15:sqref>
                        </c15:formulaRef>
                      </c:ext>
                    </c:extLst>
                    <c:numCache>
                      <c:formatCode>General</c:formatCode>
                      <c:ptCount val="3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FC7-495A-A435-DB61B8A0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19935"/>
        <c:axId val="2067689439"/>
      </c:lineChart>
      <c:lineChart>
        <c:grouping val="standard"/>
        <c:varyColors val="0"/>
        <c:ser>
          <c:idx val="0"/>
          <c:order val="0"/>
          <c:tx>
            <c:v>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[1]Sheet1!$D$4:$D$42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[1]Sheet1!$A$4:$A$42</c15:sqref>
                        </c15:formulaRef>
                      </c:ext>
                    </c:extLst>
                    <c:numCache>
                      <c:formatCode>General</c:formatCode>
                      <c:ptCount val="3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FC7-495A-A435-DB61B8A0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979520"/>
        <c:axId val="1196988160"/>
      </c:lineChart>
      <c:dateAx>
        <c:axId val="193171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 Pengamatan/Jam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89439"/>
        <c:crosses val="autoZero"/>
        <c:auto val="0"/>
        <c:lblOffset val="1"/>
        <c:baseTimeUnit val="days"/>
        <c:majorUnit val="2"/>
      </c:dateAx>
      <c:valAx>
        <c:axId val="20676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Tinggi (</a:t>
                </a:r>
                <a:r>
                  <a:rPr lang="id-ID"/>
                  <a:t>c</a:t>
                </a:r>
                <a:r>
                  <a:rPr lang="en-US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19935"/>
        <c:crosses val="autoZero"/>
        <c:crossBetween val="midCat"/>
      </c:valAx>
      <c:valAx>
        <c:axId val="1196988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79520"/>
        <c:crosses val="max"/>
        <c:crossBetween val="between"/>
      </c:valAx>
      <c:catAx>
        <c:axId val="119697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6988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Pasang vs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'Pasang vs Suhu, Salinitas, DO'!$B$1</c:f>
              <c:strCache>
                <c:ptCount val="1"/>
                <c:pt idx="0">
                  <c:v>Pasang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07-4DD2-831B-3CE1CA811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'Pasang vs Suhu, Salinitas, DO'!$C$1</c:f>
              <c:strCache>
                <c:ptCount val="1"/>
                <c:pt idx="0">
                  <c:v>Suhu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DO'!$C$2:$C$19</c:f>
              <c:numCache>
                <c:formatCode>General</c:formatCode>
                <c:ptCount val="18"/>
                <c:pt idx="0">
                  <c:v>33</c:v>
                </c:pt>
                <c:pt idx="1">
                  <c:v>32.5</c:v>
                </c:pt>
                <c:pt idx="2">
                  <c:v>32.6</c:v>
                </c:pt>
                <c:pt idx="3">
                  <c:v>30.2</c:v>
                </c:pt>
                <c:pt idx="4">
                  <c:v>29.5</c:v>
                </c:pt>
                <c:pt idx="5">
                  <c:v>30</c:v>
                </c:pt>
                <c:pt idx="6">
                  <c:v>30.5</c:v>
                </c:pt>
                <c:pt idx="7">
                  <c:v>29.3</c:v>
                </c:pt>
                <c:pt idx="8">
                  <c:v>30.1</c:v>
                </c:pt>
                <c:pt idx="9">
                  <c:v>29.2</c:v>
                </c:pt>
                <c:pt idx="10">
                  <c:v>29.1</c:v>
                </c:pt>
                <c:pt idx="11">
                  <c:v>28.3</c:v>
                </c:pt>
                <c:pt idx="12">
                  <c:v>29.8</c:v>
                </c:pt>
                <c:pt idx="13">
                  <c:v>28.4</c:v>
                </c:pt>
                <c:pt idx="14">
                  <c:v>28.6</c:v>
                </c:pt>
                <c:pt idx="15">
                  <c:v>27.8</c:v>
                </c:pt>
                <c:pt idx="16">
                  <c:v>28.4</c:v>
                </c:pt>
                <c:pt idx="17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07-4DD2-831B-3CE1CA811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Pasang vs Salinitas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'Pasang vs Suhu, Salinitas, DO'!$B$1</c:f>
              <c:strCache>
                <c:ptCount val="1"/>
                <c:pt idx="0">
                  <c:v>Pasang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6-4FEC-8A97-CFC804390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'Pasang vs Suhu, Salinitas, DO'!$D$1</c:f>
              <c:strCache>
                <c:ptCount val="1"/>
                <c:pt idx="0">
                  <c:v>Salinitas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DO'!$D$2:$D$19</c:f>
              <c:numCache>
                <c:formatCode>General</c:formatCode>
                <c:ptCount val="18"/>
                <c:pt idx="0">
                  <c:v>33.6</c:v>
                </c:pt>
                <c:pt idx="1">
                  <c:v>34.200000000000003</c:v>
                </c:pt>
                <c:pt idx="2">
                  <c:v>34.799999999999997</c:v>
                </c:pt>
                <c:pt idx="3">
                  <c:v>36</c:v>
                </c:pt>
                <c:pt idx="4">
                  <c:v>32.5</c:v>
                </c:pt>
                <c:pt idx="5">
                  <c:v>33.5</c:v>
                </c:pt>
                <c:pt idx="6">
                  <c:v>36</c:v>
                </c:pt>
                <c:pt idx="7">
                  <c:v>33.6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34.799999999999997</c:v>
                </c:pt>
                <c:pt idx="11">
                  <c:v>33.1</c:v>
                </c:pt>
                <c:pt idx="12">
                  <c:v>33.6</c:v>
                </c:pt>
                <c:pt idx="13">
                  <c:v>34.799999999999997</c:v>
                </c:pt>
                <c:pt idx="14">
                  <c:v>33.6</c:v>
                </c:pt>
                <c:pt idx="15">
                  <c:v>34.299999999999997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36-4FEC-8A97-CFC804390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Pasang vs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'Pasang vs Suhu, Salinitas, DO'!$B$1</c:f>
              <c:strCache>
                <c:ptCount val="1"/>
                <c:pt idx="0">
                  <c:v>Pasang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DO'!$B$2:$B$19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0-4420-93AE-14129171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'Pasang vs Suhu, Salinitas, DO'!$E$1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'Pasang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'Pasang vs Suhu, Salinitas, DO'!$E$2:$E$19</c:f>
              <c:numCache>
                <c:formatCode>General</c:formatCode>
                <c:ptCount val="18"/>
                <c:pt idx="0">
                  <c:v>6.19</c:v>
                </c:pt>
                <c:pt idx="1">
                  <c:v>4.67</c:v>
                </c:pt>
                <c:pt idx="2">
                  <c:v>5.52</c:v>
                </c:pt>
                <c:pt idx="3">
                  <c:v>4.59</c:v>
                </c:pt>
                <c:pt idx="4">
                  <c:v>5.31</c:v>
                </c:pt>
                <c:pt idx="5">
                  <c:v>4.76</c:v>
                </c:pt>
                <c:pt idx="6">
                  <c:v>5.61</c:v>
                </c:pt>
                <c:pt idx="7">
                  <c:v>5.71</c:v>
                </c:pt>
                <c:pt idx="8">
                  <c:v>5.67</c:v>
                </c:pt>
                <c:pt idx="9">
                  <c:v>4.87</c:v>
                </c:pt>
                <c:pt idx="10">
                  <c:v>4.8899999999999997</c:v>
                </c:pt>
                <c:pt idx="11">
                  <c:v>6.11</c:v>
                </c:pt>
                <c:pt idx="12">
                  <c:v>4.47</c:v>
                </c:pt>
                <c:pt idx="13">
                  <c:v>5.34</c:v>
                </c:pt>
                <c:pt idx="14">
                  <c:v>5.05</c:v>
                </c:pt>
                <c:pt idx="15">
                  <c:v>2.92</c:v>
                </c:pt>
                <c:pt idx="16">
                  <c:v>3.76</c:v>
                </c:pt>
                <c:pt idx="17">
                  <c:v>3.05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0-4420-93AE-14129171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Surut vs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'Surut vs Suhu, Salinitas, DO'!$B$1</c:f>
              <c:strCache>
                <c:ptCount val="1"/>
                <c:pt idx="0">
                  <c:v>Surut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DO'!$B$2:$B$19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4-415B-AC80-259DC7AE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'Surut vs Suhu, Salinitas, DO'!$C$1</c:f>
              <c:strCache>
                <c:ptCount val="1"/>
                <c:pt idx="0">
                  <c:v>Suhu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DO'!$C$2:$C$19</c:f>
              <c:numCache>
                <c:formatCode>General</c:formatCode>
                <c:ptCount val="18"/>
                <c:pt idx="0">
                  <c:v>27.4</c:v>
                </c:pt>
                <c:pt idx="1">
                  <c:v>27.6</c:v>
                </c:pt>
                <c:pt idx="2">
                  <c:v>28.3</c:v>
                </c:pt>
                <c:pt idx="3">
                  <c:v>28</c:v>
                </c:pt>
                <c:pt idx="4">
                  <c:v>27.7</c:v>
                </c:pt>
                <c:pt idx="5">
                  <c:v>27.7</c:v>
                </c:pt>
                <c:pt idx="6">
                  <c:v>27.8</c:v>
                </c:pt>
                <c:pt idx="7">
                  <c:v>27.5</c:v>
                </c:pt>
                <c:pt idx="8">
                  <c:v>27.7</c:v>
                </c:pt>
                <c:pt idx="9">
                  <c:v>28</c:v>
                </c:pt>
                <c:pt idx="10">
                  <c:v>28.1</c:v>
                </c:pt>
                <c:pt idx="11">
                  <c:v>28.1</c:v>
                </c:pt>
                <c:pt idx="12">
                  <c:v>28.5</c:v>
                </c:pt>
                <c:pt idx="13">
                  <c:v>28.3</c:v>
                </c:pt>
                <c:pt idx="14">
                  <c:v>28</c:v>
                </c:pt>
                <c:pt idx="15">
                  <c:v>28</c:v>
                </c:pt>
                <c:pt idx="16">
                  <c:v>28.5</c:v>
                </c:pt>
                <c:pt idx="17">
                  <c:v>28.2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4-415B-AC80-259DC7AE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Surut vs Salinitas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'Surut vs Suhu, Salinitas, DO'!$B$1</c:f>
              <c:strCache>
                <c:ptCount val="1"/>
                <c:pt idx="0">
                  <c:v>Surut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DO'!$B$2:$B$19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F-41F9-9D3B-0E97EAFA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'Surut vs Suhu, Salinitas, DO'!$D$1</c:f>
              <c:strCache>
                <c:ptCount val="1"/>
                <c:pt idx="0">
                  <c:v>Salinitas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DO'!$D$2:$D$19</c:f>
              <c:numCache>
                <c:formatCode>General</c:formatCode>
                <c:ptCount val="18"/>
                <c:pt idx="0">
                  <c:v>32</c:v>
                </c:pt>
                <c:pt idx="1">
                  <c:v>33.1</c:v>
                </c:pt>
                <c:pt idx="2">
                  <c:v>33.1</c:v>
                </c:pt>
                <c:pt idx="3">
                  <c:v>32</c:v>
                </c:pt>
                <c:pt idx="4">
                  <c:v>30.3</c:v>
                </c:pt>
                <c:pt idx="5">
                  <c:v>32.5</c:v>
                </c:pt>
                <c:pt idx="6">
                  <c:v>33.6</c:v>
                </c:pt>
                <c:pt idx="7">
                  <c:v>32.5</c:v>
                </c:pt>
                <c:pt idx="8">
                  <c:v>32.5</c:v>
                </c:pt>
                <c:pt idx="9">
                  <c:v>34.799999999999997</c:v>
                </c:pt>
                <c:pt idx="10">
                  <c:v>36</c:v>
                </c:pt>
                <c:pt idx="11">
                  <c:v>33.6</c:v>
                </c:pt>
                <c:pt idx="12">
                  <c:v>33.6</c:v>
                </c:pt>
                <c:pt idx="13">
                  <c:v>34.799999999999997</c:v>
                </c:pt>
                <c:pt idx="14">
                  <c:v>34.200000000000003</c:v>
                </c:pt>
                <c:pt idx="15">
                  <c:v>33.1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3F-41F9-9D3B-0E97EAFA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Surut vs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'Surut vs Suhu, Salinitas, DO'!$B$1</c:f>
              <c:strCache>
                <c:ptCount val="1"/>
                <c:pt idx="0">
                  <c:v>Surut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DO'!$B$2:$B$19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82-4FBB-A517-A8F6C28C8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'Surut vs Suhu, Salinitas, DO'!$E$1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'Surut vs Suhu, Salinitas, DO'!$A$2:$A$19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'Surut vs Suhu, Salinitas, DO'!$E$2:$E$19</c:f>
              <c:numCache>
                <c:formatCode>General</c:formatCode>
                <c:ptCount val="18"/>
                <c:pt idx="0">
                  <c:v>4.6100000000000003</c:v>
                </c:pt>
                <c:pt idx="1">
                  <c:v>5.7</c:v>
                </c:pt>
                <c:pt idx="2">
                  <c:v>4.54</c:v>
                </c:pt>
                <c:pt idx="3">
                  <c:v>4.87</c:v>
                </c:pt>
                <c:pt idx="4">
                  <c:v>4.53</c:v>
                </c:pt>
                <c:pt idx="5">
                  <c:v>4.8</c:v>
                </c:pt>
                <c:pt idx="6">
                  <c:v>5.19</c:v>
                </c:pt>
                <c:pt idx="7">
                  <c:v>4.8</c:v>
                </c:pt>
                <c:pt idx="8">
                  <c:v>4.32</c:v>
                </c:pt>
                <c:pt idx="9">
                  <c:v>5.59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5.38</c:v>
                </c:pt>
                <c:pt idx="13">
                  <c:v>3.8</c:v>
                </c:pt>
                <c:pt idx="14">
                  <c:v>5.49</c:v>
                </c:pt>
                <c:pt idx="15">
                  <c:v>5.25</c:v>
                </c:pt>
                <c:pt idx="16">
                  <c:v>5.23</c:v>
                </c:pt>
                <c:pt idx="17">
                  <c:v>4.87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82-4FBB-A517-A8F6C28C8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PASU vs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'PASU vs AVG(Suhu Salinitas DO)'!$B$1</c:f>
              <c:strCache>
                <c:ptCount val="1"/>
                <c:pt idx="0">
                  <c:v>PASU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DO)'!$B$2:$B$19</c:f>
              <c:numCache>
                <c:formatCode>0.00</c:formatCode>
                <c:ptCount val="18"/>
                <c:pt idx="0">
                  <c:v>9.1000000000000014</c:v>
                </c:pt>
                <c:pt idx="1">
                  <c:v>9.4499999999999993</c:v>
                </c:pt>
                <c:pt idx="2">
                  <c:v>9.6999999999999993</c:v>
                </c:pt>
                <c:pt idx="3">
                  <c:v>10.050000000000001</c:v>
                </c:pt>
                <c:pt idx="4">
                  <c:v>10.3</c:v>
                </c:pt>
                <c:pt idx="5">
                  <c:v>10.9</c:v>
                </c:pt>
                <c:pt idx="6">
                  <c:v>11.35</c:v>
                </c:pt>
                <c:pt idx="7">
                  <c:v>12.2</c:v>
                </c:pt>
                <c:pt idx="8">
                  <c:v>11.3</c:v>
                </c:pt>
                <c:pt idx="9">
                  <c:v>10.5</c:v>
                </c:pt>
                <c:pt idx="10">
                  <c:v>8.9499999999999993</c:v>
                </c:pt>
                <c:pt idx="11">
                  <c:v>7.0500000000000007</c:v>
                </c:pt>
                <c:pt idx="12">
                  <c:v>5.35</c:v>
                </c:pt>
                <c:pt idx="13">
                  <c:v>2.95</c:v>
                </c:pt>
                <c:pt idx="14">
                  <c:v>1.7</c:v>
                </c:pt>
                <c:pt idx="15">
                  <c:v>0.8</c:v>
                </c:pt>
                <c:pt idx="16">
                  <c:v>0.6</c:v>
                </c:pt>
                <c:pt idx="17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B7-4AD4-840B-3D747E0F8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'PASU vs AVG(Suhu Salinitas DO)'!$C$1</c:f>
              <c:strCache>
                <c:ptCount val="1"/>
                <c:pt idx="0">
                  <c:v>Suhu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DO)'!$C$2:$C$19</c:f>
              <c:numCache>
                <c:formatCode>General</c:formatCode>
                <c:ptCount val="18"/>
                <c:pt idx="0">
                  <c:v>30.2</c:v>
                </c:pt>
                <c:pt idx="1">
                  <c:v>30.05</c:v>
                </c:pt>
                <c:pt idx="2">
                  <c:v>30.450000000000003</c:v>
                </c:pt>
                <c:pt idx="3">
                  <c:v>29.1</c:v>
                </c:pt>
                <c:pt idx="4">
                  <c:v>28.6</c:v>
                </c:pt>
                <c:pt idx="5">
                  <c:v>28.85</c:v>
                </c:pt>
                <c:pt idx="6">
                  <c:v>29.15</c:v>
                </c:pt>
                <c:pt idx="7">
                  <c:v>28.4</c:v>
                </c:pt>
                <c:pt idx="8">
                  <c:v>28.9</c:v>
                </c:pt>
                <c:pt idx="9">
                  <c:v>28.6</c:v>
                </c:pt>
                <c:pt idx="10">
                  <c:v>28.6</c:v>
                </c:pt>
                <c:pt idx="11">
                  <c:v>28.200000000000003</c:v>
                </c:pt>
                <c:pt idx="12">
                  <c:v>29.15</c:v>
                </c:pt>
                <c:pt idx="13">
                  <c:v>28.35</c:v>
                </c:pt>
                <c:pt idx="14">
                  <c:v>28.3</c:v>
                </c:pt>
                <c:pt idx="15">
                  <c:v>27.9</c:v>
                </c:pt>
                <c:pt idx="16">
                  <c:v>28.45</c:v>
                </c:pt>
                <c:pt idx="17">
                  <c:v>28.1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B7-4AD4-840B-3D747E0F8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PASU vs Salinitas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'PASU vs AVG(Suhu Salinitas DO)'!$B$1</c:f>
              <c:strCache>
                <c:ptCount val="1"/>
                <c:pt idx="0">
                  <c:v>PASU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DO)'!$B$2:$B$19</c:f>
              <c:numCache>
                <c:formatCode>0.00</c:formatCode>
                <c:ptCount val="18"/>
                <c:pt idx="0">
                  <c:v>9.1000000000000014</c:v>
                </c:pt>
                <c:pt idx="1">
                  <c:v>9.4499999999999993</c:v>
                </c:pt>
                <c:pt idx="2">
                  <c:v>9.6999999999999993</c:v>
                </c:pt>
                <c:pt idx="3">
                  <c:v>10.050000000000001</c:v>
                </c:pt>
                <c:pt idx="4">
                  <c:v>10.3</c:v>
                </c:pt>
                <c:pt idx="5">
                  <c:v>10.9</c:v>
                </c:pt>
                <c:pt idx="6">
                  <c:v>11.35</c:v>
                </c:pt>
                <c:pt idx="7">
                  <c:v>12.2</c:v>
                </c:pt>
                <c:pt idx="8">
                  <c:v>11.3</c:v>
                </c:pt>
                <c:pt idx="9">
                  <c:v>10.5</c:v>
                </c:pt>
                <c:pt idx="10">
                  <c:v>8.9499999999999993</c:v>
                </c:pt>
                <c:pt idx="11">
                  <c:v>7.0500000000000007</c:v>
                </c:pt>
                <c:pt idx="12">
                  <c:v>5.35</c:v>
                </c:pt>
                <c:pt idx="13">
                  <c:v>2.95</c:v>
                </c:pt>
                <c:pt idx="14">
                  <c:v>1.7</c:v>
                </c:pt>
                <c:pt idx="15">
                  <c:v>0.8</c:v>
                </c:pt>
                <c:pt idx="16">
                  <c:v>0.6</c:v>
                </c:pt>
                <c:pt idx="17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1E-4130-8F09-5079AE128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'PASU vs AVG(Suhu Salinitas DO)'!$D$1</c:f>
              <c:strCache>
                <c:ptCount val="1"/>
                <c:pt idx="0">
                  <c:v>Salinitas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DO)'!$D$2:$D$19</c:f>
              <c:numCache>
                <c:formatCode>General</c:formatCode>
                <c:ptCount val="18"/>
                <c:pt idx="0">
                  <c:v>32.799999999999997</c:v>
                </c:pt>
                <c:pt idx="1">
                  <c:v>33.650000000000006</c:v>
                </c:pt>
                <c:pt idx="2">
                  <c:v>33.950000000000003</c:v>
                </c:pt>
                <c:pt idx="3">
                  <c:v>34</c:v>
                </c:pt>
                <c:pt idx="4">
                  <c:v>31.4</c:v>
                </c:pt>
                <c:pt idx="5">
                  <c:v>33</c:v>
                </c:pt>
                <c:pt idx="6">
                  <c:v>34.799999999999997</c:v>
                </c:pt>
                <c:pt idx="7">
                  <c:v>33.049999999999997</c:v>
                </c:pt>
                <c:pt idx="8">
                  <c:v>33.35</c:v>
                </c:pt>
                <c:pt idx="9">
                  <c:v>34.5</c:v>
                </c:pt>
                <c:pt idx="10">
                  <c:v>35.4</c:v>
                </c:pt>
                <c:pt idx="11">
                  <c:v>33.35</c:v>
                </c:pt>
                <c:pt idx="12">
                  <c:v>33.6</c:v>
                </c:pt>
                <c:pt idx="13">
                  <c:v>34.799999999999997</c:v>
                </c:pt>
                <c:pt idx="14">
                  <c:v>33.900000000000006</c:v>
                </c:pt>
                <c:pt idx="15">
                  <c:v>33.700000000000003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1E-4130-8F09-5079AE128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PASU vs 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'PASU vs AVG(Suhu Salinitas DO)'!$B$1</c:f>
              <c:strCache>
                <c:ptCount val="1"/>
                <c:pt idx="0">
                  <c:v>PASU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DO)'!$B$2:$B$19</c:f>
              <c:numCache>
                <c:formatCode>0.00</c:formatCode>
                <c:ptCount val="18"/>
                <c:pt idx="0">
                  <c:v>9.1000000000000014</c:v>
                </c:pt>
                <c:pt idx="1">
                  <c:v>9.4499999999999993</c:v>
                </c:pt>
                <c:pt idx="2">
                  <c:v>9.6999999999999993</c:v>
                </c:pt>
                <c:pt idx="3">
                  <c:v>10.050000000000001</c:v>
                </c:pt>
                <c:pt idx="4">
                  <c:v>10.3</c:v>
                </c:pt>
                <c:pt idx="5">
                  <c:v>10.9</c:v>
                </c:pt>
                <c:pt idx="6">
                  <c:v>11.35</c:v>
                </c:pt>
                <c:pt idx="7">
                  <c:v>12.2</c:v>
                </c:pt>
                <c:pt idx="8">
                  <c:v>11.3</c:v>
                </c:pt>
                <c:pt idx="9">
                  <c:v>10.5</c:v>
                </c:pt>
                <c:pt idx="10">
                  <c:v>8.9499999999999993</c:v>
                </c:pt>
                <c:pt idx="11">
                  <c:v>7.0500000000000007</c:v>
                </c:pt>
                <c:pt idx="12">
                  <c:v>5.35</c:v>
                </c:pt>
                <c:pt idx="13">
                  <c:v>2.95</c:v>
                </c:pt>
                <c:pt idx="14">
                  <c:v>1.7</c:v>
                </c:pt>
                <c:pt idx="15">
                  <c:v>0.8</c:v>
                </c:pt>
                <c:pt idx="16">
                  <c:v>0.6</c:v>
                </c:pt>
                <c:pt idx="17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1C-4CFD-865E-89D0435C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2640"/>
        <c:axId val="1326611760"/>
      </c:scatterChart>
      <c:scatterChart>
        <c:scatterStyle val="smoothMarker"/>
        <c:varyColors val="0"/>
        <c:ser>
          <c:idx val="1"/>
          <c:order val="1"/>
          <c:tx>
            <c:strRef>
              <c:f>'PASU vs AVG(Suhu Salinitas DO)'!$E$1</c:f>
              <c:strCache>
                <c:ptCount val="1"/>
                <c:pt idx="0">
                  <c:v>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'PASU vs AVG(Suhu Salinitas DO)'!$A$2:$A$19</c:f>
              <c:strCache>
                <c:ptCount val="18"/>
                <c:pt idx="0">
                  <c:v>00.00</c:v>
                </c:pt>
                <c:pt idx="1">
                  <c:v>01.00</c:v>
                </c:pt>
                <c:pt idx="2">
                  <c:v>02.00</c:v>
                </c:pt>
                <c:pt idx="3">
                  <c:v>03.00</c:v>
                </c:pt>
                <c:pt idx="4">
                  <c:v>04.00</c:v>
                </c:pt>
                <c:pt idx="5">
                  <c:v>05.00</c:v>
                </c:pt>
                <c:pt idx="6">
                  <c:v>06.00</c:v>
                </c:pt>
                <c:pt idx="7">
                  <c:v>07.00</c:v>
                </c:pt>
                <c:pt idx="8">
                  <c:v>08.00</c:v>
                </c:pt>
                <c:pt idx="9">
                  <c:v>09.00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</c:strCache>
            </c:strRef>
          </c:xVal>
          <c:yVal>
            <c:numRef>
              <c:f>'PASU vs AVG(Suhu Salinitas DO)'!$E$2:$E$19</c:f>
              <c:numCache>
                <c:formatCode>General</c:formatCode>
                <c:ptCount val="18"/>
                <c:pt idx="0">
                  <c:v>5.4</c:v>
                </c:pt>
                <c:pt idx="1">
                  <c:v>5.1850000000000005</c:v>
                </c:pt>
                <c:pt idx="2">
                  <c:v>5.0299999999999994</c:v>
                </c:pt>
                <c:pt idx="3">
                  <c:v>4.7300000000000004</c:v>
                </c:pt>
                <c:pt idx="4">
                  <c:v>4.92</c:v>
                </c:pt>
                <c:pt idx="5">
                  <c:v>4.7799999999999994</c:v>
                </c:pt>
                <c:pt idx="6">
                  <c:v>5.4</c:v>
                </c:pt>
                <c:pt idx="7">
                  <c:v>5.2549999999999999</c:v>
                </c:pt>
                <c:pt idx="8">
                  <c:v>4.9950000000000001</c:v>
                </c:pt>
                <c:pt idx="9">
                  <c:v>5.23</c:v>
                </c:pt>
                <c:pt idx="10">
                  <c:v>4.6399999999999997</c:v>
                </c:pt>
                <c:pt idx="11">
                  <c:v>5.27</c:v>
                </c:pt>
                <c:pt idx="12">
                  <c:v>4.9249999999999998</c:v>
                </c:pt>
                <c:pt idx="13">
                  <c:v>4.57</c:v>
                </c:pt>
                <c:pt idx="14">
                  <c:v>5.27</c:v>
                </c:pt>
                <c:pt idx="15">
                  <c:v>4.085</c:v>
                </c:pt>
                <c:pt idx="16">
                  <c:v>4.4950000000000001</c:v>
                </c:pt>
                <c:pt idx="17">
                  <c:v>3.96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1C-4CFD-865E-89D0435C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07440"/>
        <c:axId val="1326621360"/>
      </c:scatterChart>
      <c:valAx>
        <c:axId val="13266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11760"/>
        <c:crosses val="autoZero"/>
        <c:crossBetween val="midCat"/>
      </c:valAx>
      <c:valAx>
        <c:axId val="1326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2640"/>
        <c:crosses val="autoZero"/>
        <c:crossBetween val="midCat"/>
      </c:valAx>
      <c:valAx>
        <c:axId val="1326621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07440"/>
        <c:crosses val="max"/>
        <c:crossBetween val="midCat"/>
      </c:valAx>
      <c:valAx>
        <c:axId val="1326607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662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595923</xdr:colOff>
      <xdr:row>26</xdr:row>
      <xdr:rowOff>117231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3AEC3-8753-402B-9B22-C72B6CAF4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327024</xdr:colOff>
      <xdr:row>0</xdr:row>
      <xdr:rowOff>38100</xdr:rowOff>
    </xdr:from>
    <xdr:to>
      <xdr:col>15</xdr:col>
      <xdr:colOff>590549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CD137A-A3FB-55F4-71EF-3798D09BB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</xdr:colOff>
      <xdr:row>0</xdr:row>
      <xdr:rowOff>0</xdr:rowOff>
    </xdr:from>
    <xdr:to>
      <xdr:col>27</xdr:col>
      <xdr:colOff>295275</xdr:colOff>
      <xdr:row>16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F7E8A2-E89C-40B2-A2AE-08DA70CB2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323850</xdr:colOff>
      <xdr:row>18</xdr:row>
      <xdr:rowOff>25400</xdr:rowOff>
    </xdr:from>
    <xdr:to>
      <xdr:col>15</xdr:col>
      <xdr:colOff>587375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4C6DC5-5287-41B9-8502-3B0476C1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0</xdr:row>
      <xdr:rowOff>38100</xdr:rowOff>
    </xdr:from>
    <xdr:to>
      <xdr:col>16</xdr:col>
      <xdr:colOff>266699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2246F-DD2C-41CA-8B66-19816A99B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317500</xdr:colOff>
      <xdr:row>0</xdr:row>
      <xdr:rowOff>0</xdr:rowOff>
    </xdr:from>
    <xdr:to>
      <xdr:col>27</xdr:col>
      <xdr:colOff>581025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EDB23-1D19-4167-BEBC-2093A64F3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25400</xdr:rowOff>
    </xdr:from>
    <xdr:to>
      <xdr:col>16</xdr:col>
      <xdr:colOff>263525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AA8DB9-0D01-49E2-95A9-39D1D38A2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327024</xdr:colOff>
      <xdr:row>0</xdr:row>
      <xdr:rowOff>38100</xdr:rowOff>
    </xdr:from>
    <xdr:to>
      <xdr:col>15</xdr:col>
      <xdr:colOff>590549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0C0BD-8171-49E3-B2BA-1C2163806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</xdr:colOff>
      <xdr:row>0</xdr:row>
      <xdr:rowOff>0</xdr:rowOff>
    </xdr:from>
    <xdr:to>
      <xdr:col>27</xdr:col>
      <xdr:colOff>295275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E0410-6E46-42BC-A832-262A3E82E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323850</xdr:colOff>
      <xdr:row>18</xdr:row>
      <xdr:rowOff>25400</xdr:rowOff>
    </xdr:from>
    <xdr:to>
      <xdr:col>15</xdr:col>
      <xdr:colOff>587375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32701-1B93-4E4C-A36E-9588AC31F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DMI\Documents\kaiayayz\data%20pasut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3BB8-D726-4424-8388-03BD4A2C95F0}">
  <dimension ref="A2:D44"/>
  <sheetViews>
    <sheetView topLeftCell="A16" workbookViewId="0">
      <selection activeCell="D4" sqref="D4:D21"/>
    </sheetView>
  </sheetViews>
  <sheetFormatPr defaultRowHeight="14.5" x14ac:dyDescent="0.35"/>
  <sheetData>
    <row r="2" spans="1:4" x14ac:dyDescent="0.35">
      <c r="A2" s="12" t="s">
        <v>0</v>
      </c>
      <c r="B2" s="12"/>
      <c r="C2" s="12"/>
      <c r="D2" s="12"/>
    </row>
    <row r="3" spans="1:4" x14ac:dyDescent="0.35">
      <c r="A3" s="1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1" t="s">
        <v>5</v>
      </c>
      <c r="B4" s="3">
        <v>9.4</v>
      </c>
      <c r="C4" s="3">
        <v>8.8000000000000007</v>
      </c>
      <c r="D4" s="4">
        <f>((B4+C4)/2)</f>
        <v>9.1000000000000014</v>
      </c>
    </row>
    <row r="5" spans="1:4" x14ac:dyDescent="0.35">
      <c r="A5" s="1" t="s">
        <v>6</v>
      </c>
      <c r="B5" s="3">
        <v>9.8000000000000007</v>
      </c>
      <c r="C5" s="3">
        <v>9.1</v>
      </c>
      <c r="D5" s="4">
        <f t="shared" ref="D5:D42" si="0">((B5+C5)/2)</f>
        <v>9.4499999999999993</v>
      </c>
    </row>
    <row r="6" spans="1:4" x14ac:dyDescent="0.35">
      <c r="A6" s="1" t="s">
        <v>7</v>
      </c>
      <c r="B6" s="3">
        <v>10.1</v>
      </c>
      <c r="C6" s="3">
        <v>9.3000000000000007</v>
      </c>
      <c r="D6" s="4">
        <f t="shared" si="0"/>
        <v>9.6999999999999993</v>
      </c>
    </row>
    <row r="7" spans="1:4" x14ac:dyDescent="0.35">
      <c r="A7" s="1" t="s">
        <v>8</v>
      </c>
      <c r="B7" s="3">
        <v>10.5</v>
      </c>
      <c r="C7" s="3">
        <v>9.6</v>
      </c>
      <c r="D7" s="4">
        <f t="shared" si="0"/>
        <v>10.050000000000001</v>
      </c>
    </row>
    <row r="8" spans="1:4" x14ac:dyDescent="0.35">
      <c r="A8" s="1" t="s">
        <v>9</v>
      </c>
      <c r="B8" s="3">
        <v>10.7</v>
      </c>
      <c r="C8" s="3">
        <v>9.9</v>
      </c>
      <c r="D8" s="4">
        <f t="shared" si="0"/>
        <v>10.3</v>
      </c>
    </row>
    <row r="9" spans="1:4" x14ac:dyDescent="0.35">
      <c r="A9" s="1" t="s">
        <v>10</v>
      </c>
      <c r="B9" s="3">
        <v>11</v>
      </c>
      <c r="C9" s="3">
        <v>10.8</v>
      </c>
      <c r="D9" s="4">
        <f t="shared" si="0"/>
        <v>10.9</v>
      </c>
    </row>
    <row r="10" spans="1:4" x14ac:dyDescent="0.35">
      <c r="A10" s="1" t="s">
        <v>11</v>
      </c>
      <c r="B10" s="3">
        <v>11.6</v>
      </c>
      <c r="C10" s="3">
        <v>11.1</v>
      </c>
      <c r="D10" s="4">
        <f t="shared" si="0"/>
        <v>11.35</v>
      </c>
    </row>
    <row r="11" spans="1:4" x14ac:dyDescent="0.35">
      <c r="A11" s="1" t="s">
        <v>12</v>
      </c>
      <c r="B11" s="3">
        <v>12.5</v>
      </c>
      <c r="C11" s="3">
        <v>11.9</v>
      </c>
      <c r="D11" s="4">
        <f t="shared" si="0"/>
        <v>12.2</v>
      </c>
    </row>
    <row r="12" spans="1:4" x14ac:dyDescent="0.35">
      <c r="A12" s="1" t="s">
        <v>13</v>
      </c>
      <c r="B12" s="3">
        <v>11.5</v>
      </c>
      <c r="C12" s="3">
        <v>11.1</v>
      </c>
      <c r="D12" s="4">
        <f t="shared" si="0"/>
        <v>11.3</v>
      </c>
    </row>
    <row r="13" spans="1:4" x14ac:dyDescent="0.35">
      <c r="A13" s="1" t="s">
        <v>14</v>
      </c>
      <c r="B13" s="3">
        <v>10.7</v>
      </c>
      <c r="C13" s="3">
        <v>10.3</v>
      </c>
      <c r="D13" s="4">
        <f t="shared" si="0"/>
        <v>10.5</v>
      </c>
    </row>
    <row r="14" spans="1:4" x14ac:dyDescent="0.35">
      <c r="A14" s="1" t="s">
        <v>15</v>
      </c>
      <c r="B14" s="3">
        <v>9.1</v>
      </c>
      <c r="C14" s="3">
        <v>8.8000000000000007</v>
      </c>
      <c r="D14" s="4">
        <f t="shared" si="0"/>
        <v>8.9499999999999993</v>
      </c>
    </row>
    <row r="15" spans="1:4" x14ac:dyDescent="0.35">
      <c r="A15" s="1" t="s">
        <v>16</v>
      </c>
      <c r="B15" s="3">
        <v>7.2</v>
      </c>
      <c r="C15" s="3">
        <v>6.9</v>
      </c>
      <c r="D15" s="4">
        <f t="shared" si="0"/>
        <v>7.0500000000000007</v>
      </c>
    </row>
    <row r="16" spans="1:4" x14ac:dyDescent="0.35">
      <c r="A16" s="1" t="s">
        <v>17</v>
      </c>
      <c r="B16" s="3">
        <v>5.5</v>
      </c>
      <c r="C16" s="3">
        <v>5.2</v>
      </c>
      <c r="D16" s="4">
        <f t="shared" si="0"/>
        <v>5.35</v>
      </c>
    </row>
    <row r="17" spans="1:4" x14ac:dyDescent="0.35">
      <c r="A17" s="1" t="s">
        <v>18</v>
      </c>
      <c r="B17" s="3">
        <v>3.1</v>
      </c>
      <c r="C17" s="3">
        <v>2.8</v>
      </c>
      <c r="D17" s="4">
        <f t="shared" si="0"/>
        <v>2.95</v>
      </c>
    </row>
    <row r="18" spans="1:4" x14ac:dyDescent="0.35">
      <c r="A18" s="1" t="s">
        <v>19</v>
      </c>
      <c r="B18" s="3">
        <v>1.9</v>
      </c>
      <c r="C18" s="3">
        <v>1.5</v>
      </c>
      <c r="D18" s="4">
        <f t="shared" si="0"/>
        <v>1.7</v>
      </c>
    </row>
    <row r="19" spans="1:4" x14ac:dyDescent="0.35">
      <c r="A19" s="1" t="s">
        <v>20</v>
      </c>
      <c r="B19" s="3">
        <v>0.9</v>
      </c>
      <c r="C19" s="3">
        <v>0.7</v>
      </c>
      <c r="D19" s="4">
        <f t="shared" si="0"/>
        <v>0.8</v>
      </c>
    </row>
    <row r="20" spans="1:4" x14ac:dyDescent="0.35">
      <c r="A20" s="1" t="s">
        <v>21</v>
      </c>
      <c r="B20" s="3">
        <v>0.7</v>
      </c>
      <c r="C20" s="3">
        <v>0.5</v>
      </c>
      <c r="D20" s="4">
        <f t="shared" si="0"/>
        <v>0.6</v>
      </c>
    </row>
    <row r="21" spans="1:4" x14ac:dyDescent="0.35">
      <c r="A21" s="1" t="s">
        <v>22</v>
      </c>
      <c r="B21" s="3">
        <v>1.6</v>
      </c>
      <c r="C21" s="3">
        <v>1.4</v>
      </c>
      <c r="D21" s="4">
        <f t="shared" si="0"/>
        <v>1.5</v>
      </c>
    </row>
    <row r="22" spans="1:4" x14ac:dyDescent="0.35">
      <c r="A22" s="1" t="s">
        <v>23</v>
      </c>
      <c r="B22" s="3">
        <v>3.2</v>
      </c>
      <c r="C22" s="3">
        <v>2.6</v>
      </c>
      <c r="D22" s="4">
        <f t="shared" si="0"/>
        <v>2.9000000000000004</v>
      </c>
    </row>
    <row r="23" spans="1:4" x14ac:dyDescent="0.35">
      <c r="A23" s="1" t="s">
        <v>24</v>
      </c>
      <c r="B23" s="3">
        <v>3.8</v>
      </c>
      <c r="C23" s="3">
        <v>3.5</v>
      </c>
      <c r="D23" s="4">
        <f t="shared" si="0"/>
        <v>3.65</v>
      </c>
    </row>
    <row r="24" spans="1:4" x14ac:dyDescent="0.35">
      <c r="A24" s="1" t="s">
        <v>25</v>
      </c>
      <c r="B24" s="3">
        <v>5.6</v>
      </c>
      <c r="C24" s="3">
        <v>5.0999999999999996</v>
      </c>
      <c r="D24" s="4">
        <f t="shared" si="0"/>
        <v>5.35</v>
      </c>
    </row>
    <row r="25" spans="1:4" x14ac:dyDescent="0.35">
      <c r="A25" s="1" t="s">
        <v>26</v>
      </c>
      <c r="B25" s="3">
        <v>6.8</v>
      </c>
      <c r="C25" s="3">
        <v>6.6</v>
      </c>
      <c r="D25" s="4">
        <f t="shared" si="0"/>
        <v>6.6999999999999993</v>
      </c>
    </row>
    <row r="26" spans="1:4" x14ac:dyDescent="0.35">
      <c r="A26" s="1" t="s">
        <v>27</v>
      </c>
      <c r="B26" s="3">
        <v>7.3</v>
      </c>
      <c r="C26" s="3">
        <v>7.1</v>
      </c>
      <c r="D26" s="4">
        <f t="shared" si="0"/>
        <v>7.1999999999999993</v>
      </c>
    </row>
    <row r="27" spans="1:4" x14ac:dyDescent="0.35">
      <c r="A27" s="1" t="s">
        <v>28</v>
      </c>
      <c r="B27" s="3">
        <v>8.6</v>
      </c>
      <c r="C27" s="3">
        <v>8.3000000000000007</v>
      </c>
      <c r="D27" s="4">
        <f t="shared" si="0"/>
        <v>8.4499999999999993</v>
      </c>
    </row>
    <row r="28" spans="1:4" x14ac:dyDescent="0.35">
      <c r="A28" s="1" t="s">
        <v>29</v>
      </c>
      <c r="B28" s="3">
        <v>9.8000000000000007</v>
      </c>
      <c r="C28" s="3">
        <v>9.5</v>
      </c>
      <c r="D28" s="4">
        <f t="shared" si="0"/>
        <v>9.65</v>
      </c>
    </row>
    <row r="29" spans="1:4" x14ac:dyDescent="0.35">
      <c r="A29" s="1" t="s">
        <v>6</v>
      </c>
      <c r="B29" s="3">
        <v>10</v>
      </c>
      <c r="C29" s="3">
        <v>9.8000000000000007</v>
      </c>
      <c r="D29" s="4">
        <f t="shared" si="0"/>
        <v>9.9</v>
      </c>
    </row>
    <row r="30" spans="1:4" x14ac:dyDescent="0.35">
      <c r="A30" s="1" t="s">
        <v>7</v>
      </c>
      <c r="B30" s="3">
        <v>10.4</v>
      </c>
      <c r="C30" s="3">
        <v>10.1</v>
      </c>
      <c r="D30" s="4">
        <f t="shared" si="0"/>
        <v>10.25</v>
      </c>
    </row>
    <row r="31" spans="1:4" x14ac:dyDescent="0.35">
      <c r="A31" s="1" t="s">
        <v>8</v>
      </c>
      <c r="B31" s="3">
        <v>10.7</v>
      </c>
      <c r="C31" s="3">
        <v>10.5</v>
      </c>
      <c r="D31" s="4">
        <f t="shared" si="0"/>
        <v>10.6</v>
      </c>
    </row>
    <row r="32" spans="1:4" x14ac:dyDescent="0.35">
      <c r="A32" s="1" t="s">
        <v>9</v>
      </c>
      <c r="B32" s="3">
        <v>11.1</v>
      </c>
      <c r="C32" s="3">
        <v>10.9</v>
      </c>
      <c r="D32" s="4">
        <f t="shared" si="0"/>
        <v>11</v>
      </c>
    </row>
    <row r="33" spans="1:4" x14ac:dyDescent="0.35">
      <c r="A33" s="1" t="s">
        <v>10</v>
      </c>
      <c r="B33" s="3">
        <v>11.8</v>
      </c>
      <c r="C33" s="3">
        <v>11.3</v>
      </c>
      <c r="D33" s="4">
        <f t="shared" si="0"/>
        <v>11.55</v>
      </c>
    </row>
    <row r="34" spans="1:4" x14ac:dyDescent="0.35">
      <c r="A34" s="1" t="s">
        <v>11</v>
      </c>
      <c r="B34" s="3">
        <v>12.1</v>
      </c>
      <c r="C34" s="3">
        <v>11.7</v>
      </c>
      <c r="D34" s="4">
        <f t="shared" si="0"/>
        <v>11.899999999999999</v>
      </c>
    </row>
    <row r="35" spans="1:4" x14ac:dyDescent="0.35">
      <c r="A35" s="1" t="s">
        <v>12</v>
      </c>
      <c r="B35" s="3">
        <v>11.4</v>
      </c>
      <c r="C35" s="3">
        <v>10.6</v>
      </c>
      <c r="D35" s="4">
        <f t="shared" si="0"/>
        <v>11</v>
      </c>
    </row>
    <row r="36" spans="1:4" x14ac:dyDescent="0.35">
      <c r="A36" s="1" t="s">
        <v>13</v>
      </c>
      <c r="B36" s="3">
        <v>10.9</v>
      </c>
      <c r="C36" s="3">
        <v>10.6</v>
      </c>
      <c r="D36" s="4">
        <f t="shared" si="0"/>
        <v>10.75</v>
      </c>
    </row>
    <row r="37" spans="1:4" x14ac:dyDescent="0.35">
      <c r="A37" s="1" t="s">
        <v>14</v>
      </c>
      <c r="B37" s="3">
        <v>10.5</v>
      </c>
      <c r="C37" s="3">
        <v>10.3</v>
      </c>
      <c r="D37" s="4">
        <f t="shared" si="0"/>
        <v>10.4</v>
      </c>
    </row>
    <row r="38" spans="1:4" x14ac:dyDescent="0.35">
      <c r="A38" s="1" t="s">
        <v>15</v>
      </c>
      <c r="B38" s="3">
        <v>9.9</v>
      </c>
      <c r="C38" s="3">
        <v>9.6999999999999993</v>
      </c>
      <c r="D38" s="4">
        <f t="shared" si="0"/>
        <v>9.8000000000000007</v>
      </c>
    </row>
    <row r="39" spans="1:4" x14ac:dyDescent="0.35">
      <c r="A39" s="1" t="s">
        <v>16</v>
      </c>
      <c r="B39" s="3">
        <v>8.5</v>
      </c>
      <c r="C39" s="3">
        <v>8.3000000000000007</v>
      </c>
      <c r="D39" s="4">
        <f t="shared" si="0"/>
        <v>8.4</v>
      </c>
    </row>
    <row r="40" spans="1:4" x14ac:dyDescent="0.35">
      <c r="A40" s="1" t="s">
        <v>17</v>
      </c>
      <c r="B40" s="3">
        <v>6.1</v>
      </c>
      <c r="C40" s="3">
        <v>5.9</v>
      </c>
      <c r="D40" s="4">
        <f t="shared" si="0"/>
        <v>6</v>
      </c>
    </row>
    <row r="41" spans="1:4" x14ac:dyDescent="0.35">
      <c r="A41" s="1" t="s">
        <v>18</v>
      </c>
      <c r="B41" s="3">
        <v>3.5</v>
      </c>
      <c r="C41" s="3">
        <v>3.3</v>
      </c>
      <c r="D41" s="4">
        <f t="shared" si="0"/>
        <v>3.4</v>
      </c>
    </row>
    <row r="42" spans="1:4" x14ac:dyDescent="0.35">
      <c r="A42" s="1" t="s">
        <v>19</v>
      </c>
      <c r="B42" s="3">
        <v>2.4</v>
      </c>
      <c r="C42" s="3">
        <v>1.8</v>
      </c>
      <c r="D42" s="4">
        <f t="shared" si="0"/>
        <v>2.1</v>
      </c>
    </row>
    <row r="43" spans="1:4" x14ac:dyDescent="0.35">
      <c r="B43" s="5" t="s">
        <v>30</v>
      </c>
      <c r="D43" s="2">
        <f>SUM(D4:D42)</f>
        <v>304.69999999999993</v>
      </c>
    </row>
    <row r="44" spans="1:4" x14ac:dyDescent="0.35">
      <c r="B44" s="5" t="s">
        <v>31</v>
      </c>
      <c r="D44" s="2">
        <f>AVERAGE(D4:D42)</f>
        <v>7.8128205128205108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B9DC-A813-44B8-B8C4-AA7C8F10EE1D}">
  <dimension ref="A1:K40"/>
  <sheetViews>
    <sheetView topLeftCell="A24" workbookViewId="0">
      <selection activeCell="O35" sqref="O35"/>
    </sheetView>
  </sheetViews>
  <sheetFormatPr defaultRowHeight="14.5" x14ac:dyDescent="0.35"/>
  <sheetData>
    <row r="1" spans="1:11" x14ac:dyDescent="0.35">
      <c r="A1" s="6" t="s">
        <v>32</v>
      </c>
      <c r="E1" s="6" t="s">
        <v>33</v>
      </c>
      <c r="I1" s="6" t="s">
        <v>34</v>
      </c>
    </row>
    <row r="2" spans="1:11" x14ac:dyDescent="0.35">
      <c r="A2" s="7" t="s">
        <v>35</v>
      </c>
      <c r="B2" s="7" t="s">
        <v>36</v>
      </c>
      <c r="C2" s="7" t="s">
        <v>37</v>
      </c>
      <c r="D2" s="8"/>
      <c r="E2" s="7" t="s">
        <v>35</v>
      </c>
      <c r="F2" s="7" t="s">
        <v>38</v>
      </c>
      <c r="G2" s="7" t="s">
        <v>39</v>
      </c>
      <c r="H2" s="8"/>
      <c r="I2" s="7" t="s">
        <v>35</v>
      </c>
      <c r="J2" s="7" t="s">
        <v>38</v>
      </c>
      <c r="K2" s="7" t="s">
        <v>39</v>
      </c>
    </row>
    <row r="3" spans="1:11" x14ac:dyDescent="0.35">
      <c r="A3" s="9">
        <v>8</v>
      </c>
      <c r="B3" s="7">
        <v>1.1000000000000001</v>
      </c>
      <c r="C3" s="7">
        <v>33</v>
      </c>
      <c r="D3" s="8"/>
      <c r="E3" s="9">
        <v>8</v>
      </c>
      <c r="F3" s="7">
        <v>1.1000000000000001</v>
      </c>
      <c r="G3" s="7">
        <v>33.6</v>
      </c>
      <c r="H3" s="8"/>
      <c r="I3" s="9">
        <v>8</v>
      </c>
      <c r="J3" s="7">
        <v>1.1000000000000001</v>
      </c>
      <c r="K3" s="7">
        <v>6.19</v>
      </c>
    </row>
    <row r="4" spans="1:11" x14ac:dyDescent="0.35">
      <c r="A4" s="9">
        <v>8.1</v>
      </c>
      <c r="B4" s="7">
        <v>1.2</v>
      </c>
      <c r="C4" s="7">
        <v>32.5</v>
      </c>
      <c r="D4" s="8"/>
      <c r="E4" s="9">
        <v>8.1</v>
      </c>
      <c r="F4" s="7">
        <v>1.2</v>
      </c>
      <c r="G4" s="7">
        <v>34.200000000000003</v>
      </c>
      <c r="H4" s="8"/>
      <c r="I4" s="9">
        <v>8.1</v>
      </c>
      <c r="J4" s="7">
        <v>1.2</v>
      </c>
      <c r="K4" s="7">
        <v>4.67</v>
      </c>
    </row>
    <row r="5" spans="1:11" x14ac:dyDescent="0.35">
      <c r="A5" s="9">
        <v>8.1999999999999993</v>
      </c>
      <c r="B5" s="7">
        <v>1.3</v>
      </c>
      <c r="C5" s="7">
        <v>32.6</v>
      </c>
      <c r="D5" s="8"/>
      <c r="E5" s="9">
        <v>8.1999999999999993</v>
      </c>
      <c r="F5" s="7">
        <v>1.3</v>
      </c>
      <c r="G5" s="7">
        <v>34.799999999999997</v>
      </c>
      <c r="H5" s="8"/>
      <c r="I5" s="9">
        <v>8.1999999999999993</v>
      </c>
      <c r="J5" s="7">
        <v>1.3</v>
      </c>
      <c r="K5" s="7">
        <v>5.52</v>
      </c>
    </row>
    <row r="6" spans="1:11" x14ac:dyDescent="0.35">
      <c r="A6" s="9">
        <v>8.3000000000000007</v>
      </c>
      <c r="B6" s="7">
        <v>2.1</v>
      </c>
      <c r="C6" s="7">
        <v>30.2</v>
      </c>
      <c r="D6" s="8"/>
      <c r="E6" s="9">
        <v>8.3000000000000007</v>
      </c>
      <c r="F6" s="7">
        <v>2.1</v>
      </c>
      <c r="G6" s="7">
        <v>36</v>
      </c>
      <c r="H6" s="8"/>
      <c r="I6" s="9">
        <v>8.3000000000000007</v>
      </c>
      <c r="J6" s="7">
        <v>2.1</v>
      </c>
      <c r="K6" s="7">
        <v>4.59</v>
      </c>
    </row>
    <row r="7" spans="1:11" x14ac:dyDescent="0.35">
      <c r="A7" s="9">
        <v>8.4</v>
      </c>
      <c r="B7" s="7">
        <v>2.2000000000000002</v>
      </c>
      <c r="C7" s="7">
        <v>29.5</v>
      </c>
      <c r="D7" s="8"/>
      <c r="E7" s="9">
        <v>8.4</v>
      </c>
      <c r="F7" s="7">
        <v>2.2000000000000002</v>
      </c>
      <c r="G7" s="7">
        <v>32.5</v>
      </c>
      <c r="H7" s="8"/>
      <c r="I7" s="9">
        <v>8.4</v>
      </c>
      <c r="J7" s="7">
        <v>2.2000000000000002</v>
      </c>
      <c r="K7" s="7">
        <v>5.31</v>
      </c>
    </row>
    <row r="8" spans="1:11" x14ac:dyDescent="0.35">
      <c r="A8" s="9">
        <v>8.5</v>
      </c>
      <c r="B8" s="7">
        <v>2.2999999999999998</v>
      </c>
      <c r="C8" s="7">
        <v>30</v>
      </c>
      <c r="D8" s="8"/>
      <c r="E8" s="9">
        <v>8.5</v>
      </c>
      <c r="F8" s="7">
        <v>2.2999999999999998</v>
      </c>
      <c r="G8" s="7">
        <v>33.5</v>
      </c>
      <c r="H8" s="8"/>
      <c r="I8" s="9">
        <v>8.5</v>
      </c>
      <c r="J8" s="7">
        <v>2.2999999999999998</v>
      </c>
      <c r="K8" s="7">
        <v>4.76</v>
      </c>
    </row>
    <row r="9" spans="1:11" x14ac:dyDescent="0.35">
      <c r="A9" s="9">
        <v>9</v>
      </c>
      <c r="B9" s="7">
        <v>3.1</v>
      </c>
      <c r="C9" s="7">
        <v>30.5</v>
      </c>
      <c r="D9" s="8"/>
      <c r="E9" s="9">
        <v>9</v>
      </c>
      <c r="F9" s="7">
        <v>3.1</v>
      </c>
      <c r="G9" s="7">
        <v>36</v>
      </c>
      <c r="H9" s="8"/>
      <c r="I9" s="9">
        <v>9</v>
      </c>
      <c r="J9" s="7">
        <v>3.1</v>
      </c>
      <c r="K9" s="7">
        <v>5.61</v>
      </c>
    </row>
    <row r="10" spans="1:11" x14ac:dyDescent="0.35">
      <c r="A10" s="9">
        <v>9.1</v>
      </c>
      <c r="B10" s="7">
        <v>3.2</v>
      </c>
      <c r="C10" s="7">
        <v>29.3</v>
      </c>
      <c r="D10" s="8"/>
      <c r="E10" s="9">
        <v>9.1</v>
      </c>
      <c r="F10" s="7">
        <v>3.2</v>
      </c>
      <c r="G10" s="7">
        <v>33.6</v>
      </c>
      <c r="H10" s="8"/>
      <c r="I10" s="9">
        <v>9.1</v>
      </c>
      <c r="J10" s="7">
        <v>3.2</v>
      </c>
      <c r="K10" s="7">
        <v>5.71</v>
      </c>
    </row>
    <row r="11" spans="1:11" x14ac:dyDescent="0.35">
      <c r="A11" s="9">
        <v>9.1999999999999993</v>
      </c>
      <c r="B11" s="7">
        <v>3.3</v>
      </c>
      <c r="C11" s="7">
        <v>30.1</v>
      </c>
      <c r="D11" s="8"/>
      <c r="E11" s="9">
        <v>9.1999999999999993</v>
      </c>
      <c r="F11" s="7">
        <v>3.3</v>
      </c>
      <c r="G11" s="7">
        <v>34.200000000000003</v>
      </c>
      <c r="H11" s="8"/>
      <c r="I11" s="9">
        <v>9.1999999999999993</v>
      </c>
      <c r="J11" s="7">
        <v>3.3</v>
      </c>
      <c r="K11" s="7">
        <v>5.67</v>
      </c>
    </row>
    <row r="12" spans="1:11" x14ac:dyDescent="0.35">
      <c r="A12" s="9">
        <v>9.3000000000000007</v>
      </c>
      <c r="B12" s="7">
        <v>4.0999999999999996</v>
      </c>
      <c r="C12" s="7">
        <v>29.2</v>
      </c>
      <c r="D12" s="8"/>
      <c r="E12" s="9">
        <v>9.3000000000000007</v>
      </c>
      <c r="F12" s="7">
        <v>4.0999999999999996</v>
      </c>
      <c r="G12" s="7">
        <v>34.200000000000003</v>
      </c>
      <c r="H12" s="8"/>
      <c r="I12" s="9">
        <v>9.3000000000000007</v>
      </c>
      <c r="J12" s="7">
        <v>4.0999999999999996</v>
      </c>
      <c r="K12" s="7">
        <v>4.87</v>
      </c>
    </row>
    <row r="13" spans="1:11" x14ac:dyDescent="0.35">
      <c r="A13" s="9">
        <v>9.4</v>
      </c>
      <c r="B13" s="7">
        <v>4.2</v>
      </c>
      <c r="C13" s="7">
        <v>29.1</v>
      </c>
      <c r="D13" s="8"/>
      <c r="E13" s="9">
        <v>9.4</v>
      </c>
      <c r="F13" s="7">
        <v>4.2</v>
      </c>
      <c r="G13" s="7">
        <v>34.799999999999997</v>
      </c>
      <c r="H13" s="8"/>
      <c r="I13" s="9">
        <v>9.4</v>
      </c>
      <c r="J13" s="7">
        <v>4.2</v>
      </c>
      <c r="K13" s="7">
        <v>4.8899999999999997</v>
      </c>
    </row>
    <row r="14" spans="1:11" x14ac:dyDescent="0.35">
      <c r="A14" s="9">
        <v>9.5</v>
      </c>
      <c r="B14" s="7">
        <v>4.3</v>
      </c>
      <c r="C14" s="7">
        <v>28.3</v>
      </c>
      <c r="D14" s="8"/>
      <c r="E14" s="9">
        <v>9.5</v>
      </c>
      <c r="F14" s="7">
        <v>4.3</v>
      </c>
      <c r="G14" s="7">
        <v>33.1</v>
      </c>
      <c r="H14" s="8"/>
      <c r="I14" s="9">
        <v>9.5</v>
      </c>
      <c r="J14" s="7">
        <v>4.3</v>
      </c>
      <c r="K14" s="7">
        <v>6.11</v>
      </c>
    </row>
    <row r="15" spans="1:11" x14ac:dyDescent="0.35">
      <c r="A15" s="9">
        <v>10</v>
      </c>
      <c r="B15" s="7">
        <v>5.0999999999999996</v>
      </c>
      <c r="C15" s="7">
        <v>29.8</v>
      </c>
      <c r="D15" s="8"/>
      <c r="E15" s="9">
        <v>10</v>
      </c>
      <c r="F15" s="7">
        <v>5.0999999999999996</v>
      </c>
      <c r="G15" s="7">
        <v>33.6</v>
      </c>
      <c r="H15" s="8"/>
      <c r="I15" s="9">
        <v>10</v>
      </c>
      <c r="J15" s="7">
        <v>5.0999999999999996</v>
      </c>
      <c r="K15" s="7">
        <v>4.47</v>
      </c>
    </row>
    <row r="16" spans="1:11" x14ac:dyDescent="0.35">
      <c r="A16" s="9">
        <v>10.1</v>
      </c>
      <c r="B16" s="7">
        <v>5.2</v>
      </c>
      <c r="C16" s="7">
        <v>28.4</v>
      </c>
      <c r="D16" s="8"/>
      <c r="E16" s="9">
        <v>10.1</v>
      </c>
      <c r="F16" s="7">
        <v>5.2</v>
      </c>
      <c r="G16" s="7">
        <v>34.799999999999997</v>
      </c>
      <c r="H16" s="8"/>
      <c r="I16" s="9">
        <v>10.1</v>
      </c>
      <c r="J16" s="7">
        <v>5.2</v>
      </c>
      <c r="K16" s="7">
        <v>5.34</v>
      </c>
    </row>
    <row r="17" spans="1:11" x14ac:dyDescent="0.35">
      <c r="A17" s="9">
        <v>10.199999999999999</v>
      </c>
      <c r="B17" s="7">
        <v>5.3</v>
      </c>
      <c r="C17" s="7">
        <v>28.6</v>
      </c>
      <c r="D17" s="8"/>
      <c r="E17" s="9">
        <v>10.199999999999999</v>
      </c>
      <c r="F17" s="7">
        <v>5.3</v>
      </c>
      <c r="G17" s="7">
        <v>33.6</v>
      </c>
      <c r="H17" s="8"/>
      <c r="I17" s="9">
        <v>10.199999999999999</v>
      </c>
      <c r="J17" s="7">
        <v>5.3</v>
      </c>
      <c r="K17" s="7">
        <v>5.05</v>
      </c>
    </row>
    <row r="18" spans="1:11" x14ac:dyDescent="0.35">
      <c r="A18" s="9">
        <v>10.3</v>
      </c>
      <c r="B18" s="7">
        <v>6.1</v>
      </c>
      <c r="C18" s="7">
        <v>27.8</v>
      </c>
      <c r="D18" s="8"/>
      <c r="E18" s="9">
        <v>10.3</v>
      </c>
      <c r="F18" s="7">
        <v>6.1</v>
      </c>
      <c r="G18" s="7">
        <v>34.299999999999997</v>
      </c>
      <c r="H18" s="8"/>
      <c r="I18" s="9">
        <v>10.3</v>
      </c>
      <c r="J18" s="7">
        <v>6.1</v>
      </c>
      <c r="K18" s="7">
        <v>2.92</v>
      </c>
    </row>
    <row r="19" spans="1:11" x14ac:dyDescent="0.35">
      <c r="A19" s="9">
        <v>10.4</v>
      </c>
      <c r="B19" s="7">
        <v>6.2</v>
      </c>
      <c r="C19" s="7">
        <v>28.4</v>
      </c>
      <c r="D19" s="8"/>
      <c r="E19" s="9">
        <v>10.4</v>
      </c>
      <c r="F19" s="7">
        <v>6.2</v>
      </c>
      <c r="G19" s="7">
        <v>34.200000000000003</v>
      </c>
      <c r="H19" s="8"/>
      <c r="I19" s="9">
        <v>10.4</v>
      </c>
      <c r="J19" s="7">
        <v>6.2</v>
      </c>
      <c r="K19" s="7">
        <v>3.76</v>
      </c>
    </row>
    <row r="20" spans="1:11" x14ac:dyDescent="0.35">
      <c r="A20" s="9">
        <v>10.5</v>
      </c>
      <c r="B20" s="7">
        <v>6.3</v>
      </c>
      <c r="C20" s="7">
        <v>28</v>
      </c>
      <c r="D20" s="8"/>
      <c r="E20" s="9">
        <v>10.5</v>
      </c>
      <c r="F20" s="7">
        <v>6.3</v>
      </c>
      <c r="G20" s="7">
        <v>33.1</v>
      </c>
      <c r="H20" s="8"/>
      <c r="I20" s="9">
        <v>10.5</v>
      </c>
      <c r="J20" s="7">
        <v>6.3</v>
      </c>
      <c r="K20" s="7">
        <v>3.05</v>
      </c>
    </row>
    <row r="21" spans="1:1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35">
      <c r="A22" s="7" t="s">
        <v>35</v>
      </c>
      <c r="B22" s="7" t="s">
        <v>36</v>
      </c>
      <c r="C22" s="7" t="s">
        <v>40</v>
      </c>
      <c r="D22" s="8"/>
      <c r="E22" s="7" t="s">
        <v>35</v>
      </c>
      <c r="F22" s="7" t="s">
        <v>36</v>
      </c>
      <c r="G22" s="7" t="s">
        <v>40</v>
      </c>
      <c r="H22" s="8"/>
      <c r="I22" s="7" t="s">
        <v>35</v>
      </c>
      <c r="J22" s="7" t="s">
        <v>36</v>
      </c>
      <c r="K22" s="7" t="s">
        <v>40</v>
      </c>
    </row>
    <row r="23" spans="1:11" x14ac:dyDescent="0.35">
      <c r="A23" s="9">
        <v>15.3</v>
      </c>
      <c r="B23" s="7">
        <v>1.1000000000000001</v>
      </c>
      <c r="C23" s="7">
        <v>27.4</v>
      </c>
      <c r="D23" s="8"/>
      <c r="E23" s="9">
        <v>15.3</v>
      </c>
      <c r="F23" s="7">
        <v>1.1000000000000001</v>
      </c>
      <c r="G23" s="7">
        <v>32</v>
      </c>
      <c r="H23" s="8"/>
      <c r="I23" s="9">
        <v>15.3</v>
      </c>
      <c r="J23" s="7">
        <v>1.1000000000000001</v>
      </c>
      <c r="K23" s="7">
        <v>4.6100000000000003</v>
      </c>
    </row>
    <row r="24" spans="1:11" x14ac:dyDescent="0.35">
      <c r="A24" s="9">
        <v>15.4</v>
      </c>
      <c r="B24" s="7">
        <v>1.2</v>
      </c>
      <c r="C24" s="7">
        <v>27.6</v>
      </c>
      <c r="D24" s="8"/>
      <c r="E24" s="9">
        <v>15.4</v>
      </c>
      <c r="F24" s="7">
        <v>1.2</v>
      </c>
      <c r="G24" s="7">
        <v>33.1</v>
      </c>
      <c r="H24" s="8"/>
      <c r="I24" s="9">
        <v>15.4</v>
      </c>
      <c r="J24" s="7">
        <v>1.2</v>
      </c>
      <c r="K24" s="7">
        <v>5.7</v>
      </c>
    </row>
    <row r="25" spans="1:11" x14ac:dyDescent="0.35">
      <c r="A25" s="9">
        <v>15.5</v>
      </c>
      <c r="B25" s="7">
        <v>1.3</v>
      </c>
      <c r="C25" s="7">
        <v>28.3</v>
      </c>
      <c r="D25" s="8"/>
      <c r="E25" s="9">
        <v>15.5</v>
      </c>
      <c r="F25" s="7">
        <v>1.3</v>
      </c>
      <c r="G25" s="7">
        <v>33.1</v>
      </c>
      <c r="H25" s="8"/>
      <c r="I25" s="9">
        <v>15.5</v>
      </c>
      <c r="J25" s="7">
        <v>1.3</v>
      </c>
      <c r="K25" s="7">
        <v>4.54</v>
      </c>
    </row>
    <row r="26" spans="1:11" x14ac:dyDescent="0.35">
      <c r="A26" s="9">
        <v>16</v>
      </c>
      <c r="B26" s="7">
        <v>2.1</v>
      </c>
      <c r="C26" s="7">
        <v>28</v>
      </c>
      <c r="D26" s="8"/>
      <c r="E26" s="9">
        <v>16</v>
      </c>
      <c r="F26" s="7">
        <v>2.1</v>
      </c>
      <c r="G26" s="7">
        <v>32</v>
      </c>
      <c r="H26" s="8"/>
      <c r="I26" s="9">
        <v>16</v>
      </c>
      <c r="J26" s="7">
        <v>2.1</v>
      </c>
      <c r="K26" s="7">
        <v>4.87</v>
      </c>
    </row>
    <row r="27" spans="1:11" x14ac:dyDescent="0.35">
      <c r="A27" s="9">
        <v>16.100000000000001</v>
      </c>
      <c r="B27" s="7">
        <v>2.2000000000000002</v>
      </c>
      <c r="C27" s="7">
        <v>27.7</v>
      </c>
      <c r="D27" s="8"/>
      <c r="E27" s="9">
        <v>16.100000000000001</v>
      </c>
      <c r="F27" s="7">
        <v>2.2000000000000002</v>
      </c>
      <c r="G27" s="7">
        <v>30.3</v>
      </c>
      <c r="H27" s="8"/>
      <c r="I27" s="9">
        <v>16.100000000000001</v>
      </c>
      <c r="J27" s="7">
        <v>2.2000000000000002</v>
      </c>
      <c r="K27" s="7">
        <v>4.53</v>
      </c>
    </row>
    <row r="28" spans="1:11" x14ac:dyDescent="0.35">
      <c r="A28" s="9">
        <v>16.2</v>
      </c>
      <c r="B28" s="7">
        <v>2.2999999999999998</v>
      </c>
      <c r="C28" s="7">
        <v>27.7</v>
      </c>
      <c r="D28" s="8"/>
      <c r="E28" s="9">
        <v>16.2</v>
      </c>
      <c r="F28" s="7">
        <v>2.2999999999999998</v>
      </c>
      <c r="G28" s="7">
        <v>32.5</v>
      </c>
      <c r="H28" s="8"/>
      <c r="I28" s="9">
        <v>16.2</v>
      </c>
      <c r="J28" s="7">
        <v>2.2999999999999998</v>
      </c>
      <c r="K28" s="7">
        <v>4.8</v>
      </c>
    </row>
    <row r="29" spans="1:11" x14ac:dyDescent="0.35">
      <c r="A29" s="9">
        <v>16.3</v>
      </c>
      <c r="B29" s="7">
        <v>3.1</v>
      </c>
      <c r="C29" s="7">
        <v>27.8</v>
      </c>
      <c r="D29" s="8"/>
      <c r="E29" s="9">
        <v>16.3</v>
      </c>
      <c r="F29" s="7">
        <v>3.1</v>
      </c>
      <c r="G29" s="7">
        <v>33.6</v>
      </c>
      <c r="H29" s="8"/>
      <c r="I29" s="9">
        <v>16.3</v>
      </c>
      <c r="J29" s="7">
        <v>3.1</v>
      </c>
      <c r="K29" s="7">
        <v>5.19</v>
      </c>
    </row>
    <row r="30" spans="1:11" x14ac:dyDescent="0.35">
      <c r="A30" s="9">
        <v>16.399999999999999</v>
      </c>
      <c r="B30" s="7">
        <v>3.2</v>
      </c>
      <c r="C30" s="7">
        <v>27.5</v>
      </c>
      <c r="D30" s="8"/>
      <c r="E30" s="9">
        <v>16.399999999999999</v>
      </c>
      <c r="F30" s="7">
        <v>3.2</v>
      </c>
      <c r="G30" s="7">
        <v>32.5</v>
      </c>
      <c r="H30" s="8"/>
      <c r="I30" s="9">
        <v>16.399999999999999</v>
      </c>
      <c r="J30" s="7">
        <v>3.2</v>
      </c>
      <c r="K30" s="7">
        <v>4.8</v>
      </c>
    </row>
    <row r="31" spans="1:11" x14ac:dyDescent="0.35">
      <c r="A31" s="9">
        <v>16.5</v>
      </c>
      <c r="B31" s="7">
        <v>3.3</v>
      </c>
      <c r="C31" s="7">
        <v>27.7</v>
      </c>
      <c r="D31" s="8"/>
      <c r="E31" s="9">
        <v>16.5</v>
      </c>
      <c r="F31" s="7">
        <v>3.3</v>
      </c>
      <c r="G31" s="7">
        <v>32.5</v>
      </c>
      <c r="H31" s="8"/>
      <c r="I31" s="9">
        <v>16.5</v>
      </c>
      <c r="J31" s="7">
        <v>3.3</v>
      </c>
      <c r="K31" s="7">
        <v>4.32</v>
      </c>
    </row>
    <row r="32" spans="1:11" x14ac:dyDescent="0.35">
      <c r="A32" s="9">
        <v>17</v>
      </c>
      <c r="B32" s="7">
        <v>4.0999999999999996</v>
      </c>
      <c r="C32" s="7">
        <v>28</v>
      </c>
      <c r="D32" s="8"/>
      <c r="E32" s="9">
        <v>17</v>
      </c>
      <c r="F32" s="7">
        <v>4.0999999999999996</v>
      </c>
      <c r="G32" s="7">
        <v>34.799999999999997</v>
      </c>
      <c r="H32" s="8"/>
      <c r="I32" s="9">
        <v>17</v>
      </c>
      <c r="J32" s="7">
        <v>4.0999999999999996</v>
      </c>
      <c r="K32" s="7">
        <v>5.59</v>
      </c>
    </row>
    <row r="33" spans="1:11" x14ac:dyDescent="0.35">
      <c r="A33" s="9">
        <v>17.100000000000001</v>
      </c>
      <c r="B33" s="7">
        <v>4.2</v>
      </c>
      <c r="C33" s="7">
        <v>28.1</v>
      </c>
      <c r="D33" s="8"/>
      <c r="E33" s="9">
        <v>17.100000000000001</v>
      </c>
      <c r="F33" s="7">
        <v>4.2</v>
      </c>
      <c r="G33" s="7">
        <v>36</v>
      </c>
      <c r="H33" s="8"/>
      <c r="I33" s="9">
        <v>17.100000000000001</v>
      </c>
      <c r="J33" s="7">
        <v>4.2</v>
      </c>
      <c r="K33" s="7">
        <v>4.3899999999999997</v>
      </c>
    </row>
    <row r="34" spans="1:11" x14ac:dyDescent="0.35">
      <c r="A34" s="9">
        <v>17.2</v>
      </c>
      <c r="B34" s="7">
        <v>4.3</v>
      </c>
      <c r="C34" s="7">
        <v>28.1</v>
      </c>
      <c r="D34" s="8"/>
      <c r="E34" s="9">
        <v>17.2</v>
      </c>
      <c r="F34" s="7">
        <v>4.3</v>
      </c>
      <c r="G34" s="7">
        <v>33.6</v>
      </c>
      <c r="H34" s="8"/>
      <c r="I34" s="9">
        <v>17.2</v>
      </c>
      <c r="J34" s="7">
        <v>4.3</v>
      </c>
      <c r="K34" s="7">
        <v>4.43</v>
      </c>
    </row>
    <row r="35" spans="1:11" x14ac:dyDescent="0.35">
      <c r="A35" s="9">
        <v>17.3</v>
      </c>
      <c r="B35" s="7">
        <v>5.0999999999999996</v>
      </c>
      <c r="C35" s="7">
        <v>28.5</v>
      </c>
      <c r="D35" s="8"/>
      <c r="E35" s="9">
        <v>17.3</v>
      </c>
      <c r="F35" s="7">
        <v>5.0999999999999996</v>
      </c>
      <c r="G35" s="7">
        <v>33.6</v>
      </c>
      <c r="H35" s="8"/>
      <c r="I35" s="9">
        <v>17.3</v>
      </c>
      <c r="J35" s="7">
        <v>5.0999999999999996</v>
      </c>
      <c r="K35" s="7">
        <v>5.38</v>
      </c>
    </row>
    <row r="36" spans="1:11" x14ac:dyDescent="0.35">
      <c r="A36" s="9">
        <v>17.399999999999999</v>
      </c>
      <c r="B36" s="7">
        <v>5.2</v>
      </c>
      <c r="C36" s="7">
        <v>28.3</v>
      </c>
      <c r="D36" s="8"/>
      <c r="E36" s="9">
        <v>17.399999999999999</v>
      </c>
      <c r="F36" s="7">
        <v>5.2</v>
      </c>
      <c r="G36" s="7">
        <v>34.799999999999997</v>
      </c>
      <c r="H36" s="8"/>
      <c r="I36" s="9">
        <v>17.399999999999999</v>
      </c>
      <c r="J36" s="7">
        <v>5.2</v>
      </c>
      <c r="K36" s="7">
        <v>3.8</v>
      </c>
    </row>
    <row r="37" spans="1:11" x14ac:dyDescent="0.35">
      <c r="A37" s="9">
        <v>17.5</v>
      </c>
      <c r="B37" s="7">
        <v>5.3</v>
      </c>
      <c r="C37" s="7">
        <v>28</v>
      </c>
      <c r="D37" s="8"/>
      <c r="E37" s="9">
        <v>17.5</v>
      </c>
      <c r="F37" s="7">
        <v>5.3</v>
      </c>
      <c r="G37" s="7">
        <v>34.200000000000003</v>
      </c>
      <c r="H37" s="8"/>
      <c r="I37" s="9">
        <v>17.5</v>
      </c>
      <c r="J37" s="7">
        <v>5.3</v>
      </c>
      <c r="K37" s="7">
        <v>5.49</v>
      </c>
    </row>
    <row r="38" spans="1:11" x14ac:dyDescent="0.35">
      <c r="A38" s="9">
        <v>18</v>
      </c>
      <c r="B38" s="7">
        <v>6.1</v>
      </c>
      <c r="C38" s="7">
        <v>28</v>
      </c>
      <c r="D38" s="8"/>
      <c r="E38" s="9">
        <v>18</v>
      </c>
      <c r="F38" s="7">
        <v>6.1</v>
      </c>
      <c r="G38" s="7">
        <v>33.1</v>
      </c>
      <c r="H38" s="8"/>
      <c r="I38" s="9">
        <v>18</v>
      </c>
      <c r="J38" s="7">
        <v>6.1</v>
      </c>
      <c r="K38" s="7">
        <v>5.25</v>
      </c>
    </row>
    <row r="39" spans="1:11" x14ac:dyDescent="0.35">
      <c r="A39" s="9">
        <v>18.100000000000001</v>
      </c>
      <c r="B39" s="7">
        <v>6.2</v>
      </c>
      <c r="C39" s="7">
        <v>28.5</v>
      </c>
      <c r="D39" s="8"/>
      <c r="E39" s="9">
        <v>18.100000000000001</v>
      </c>
      <c r="F39" s="7">
        <v>6.2</v>
      </c>
      <c r="G39" s="7">
        <v>34.200000000000003</v>
      </c>
      <c r="H39" s="8"/>
      <c r="I39" s="9">
        <v>18.100000000000001</v>
      </c>
      <c r="J39" s="7">
        <v>6.2</v>
      </c>
      <c r="K39" s="7">
        <v>5.23</v>
      </c>
    </row>
    <row r="40" spans="1:11" x14ac:dyDescent="0.35">
      <c r="A40" s="9">
        <v>18.2</v>
      </c>
      <c r="B40" s="7">
        <v>6.3</v>
      </c>
      <c r="C40" s="7">
        <v>28.2</v>
      </c>
      <c r="D40" s="8"/>
      <c r="E40" s="9">
        <v>18.2</v>
      </c>
      <c r="F40" s="7">
        <v>6.3</v>
      </c>
      <c r="G40" s="7">
        <v>33.1</v>
      </c>
      <c r="H40" s="8"/>
      <c r="I40" s="9">
        <v>18.2</v>
      </c>
      <c r="J40" s="7">
        <v>6.3</v>
      </c>
      <c r="K40" s="7">
        <v>4.87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594A-0813-42D7-BF25-B967C672700C}">
  <dimension ref="A1:E19"/>
  <sheetViews>
    <sheetView workbookViewId="0">
      <selection sqref="A1:XFD1048576"/>
    </sheetView>
  </sheetViews>
  <sheetFormatPr defaultRowHeight="14.5" x14ac:dyDescent="0.35"/>
  <sheetData>
    <row r="1" spans="1:5" x14ac:dyDescent="0.35">
      <c r="A1" s="1" t="s">
        <v>1</v>
      </c>
      <c r="B1" s="2" t="s">
        <v>2</v>
      </c>
      <c r="C1" s="10" t="s">
        <v>41</v>
      </c>
      <c r="D1" s="10" t="s">
        <v>42</v>
      </c>
      <c r="E1" s="10" t="s">
        <v>34</v>
      </c>
    </row>
    <row r="2" spans="1:5" x14ac:dyDescent="0.35">
      <c r="A2" s="11" t="s">
        <v>5</v>
      </c>
      <c r="B2" s="3">
        <v>9.4</v>
      </c>
      <c r="C2" s="7">
        <v>33</v>
      </c>
      <c r="D2" s="7">
        <v>33.6</v>
      </c>
      <c r="E2" s="7">
        <v>6.19</v>
      </c>
    </row>
    <row r="3" spans="1:5" x14ac:dyDescent="0.35">
      <c r="A3" s="11" t="s">
        <v>6</v>
      </c>
      <c r="B3" s="3">
        <v>9.8000000000000007</v>
      </c>
      <c r="C3" s="7">
        <v>32.5</v>
      </c>
      <c r="D3" s="7">
        <v>34.200000000000003</v>
      </c>
      <c r="E3" s="7">
        <v>4.67</v>
      </c>
    </row>
    <row r="4" spans="1:5" x14ac:dyDescent="0.35">
      <c r="A4" s="11" t="s">
        <v>7</v>
      </c>
      <c r="B4" s="3">
        <v>10.1</v>
      </c>
      <c r="C4" s="7">
        <v>32.6</v>
      </c>
      <c r="D4" s="7">
        <v>34.799999999999997</v>
      </c>
      <c r="E4" s="7">
        <v>5.52</v>
      </c>
    </row>
    <row r="5" spans="1:5" x14ac:dyDescent="0.35">
      <c r="A5" s="11" t="s">
        <v>8</v>
      </c>
      <c r="B5" s="3">
        <v>10.5</v>
      </c>
      <c r="C5" s="7">
        <v>30.2</v>
      </c>
      <c r="D5" s="7">
        <v>36</v>
      </c>
      <c r="E5" s="7">
        <v>4.59</v>
      </c>
    </row>
    <row r="6" spans="1:5" x14ac:dyDescent="0.35">
      <c r="A6" s="11" t="s">
        <v>9</v>
      </c>
      <c r="B6" s="3">
        <v>10.7</v>
      </c>
      <c r="C6" s="7">
        <v>29.5</v>
      </c>
      <c r="D6" s="7">
        <v>32.5</v>
      </c>
      <c r="E6" s="7">
        <v>5.31</v>
      </c>
    </row>
    <row r="7" spans="1:5" x14ac:dyDescent="0.35">
      <c r="A7" s="11" t="s">
        <v>10</v>
      </c>
      <c r="B7" s="3">
        <v>11</v>
      </c>
      <c r="C7" s="7">
        <v>30</v>
      </c>
      <c r="D7" s="7">
        <v>33.5</v>
      </c>
      <c r="E7" s="7">
        <v>4.76</v>
      </c>
    </row>
    <row r="8" spans="1:5" x14ac:dyDescent="0.35">
      <c r="A8" s="11" t="s">
        <v>11</v>
      </c>
      <c r="B8" s="3">
        <v>11.6</v>
      </c>
      <c r="C8" s="7">
        <v>30.5</v>
      </c>
      <c r="D8" s="7">
        <v>36</v>
      </c>
      <c r="E8" s="7">
        <v>5.61</v>
      </c>
    </row>
    <row r="9" spans="1:5" x14ac:dyDescent="0.35">
      <c r="A9" s="11" t="s">
        <v>12</v>
      </c>
      <c r="B9" s="3">
        <v>12.5</v>
      </c>
      <c r="C9" s="7">
        <v>29.3</v>
      </c>
      <c r="D9" s="7">
        <v>33.6</v>
      </c>
      <c r="E9" s="7">
        <v>5.71</v>
      </c>
    </row>
    <row r="10" spans="1:5" x14ac:dyDescent="0.35">
      <c r="A10" s="11" t="s">
        <v>13</v>
      </c>
      <c r="B10" s="3">
        <v>11.5</v>
      </c>
      <c r="C10" s="7">
        <v>30.1</v>
      </c>
      <c r="D10" s="7">
        <v>34.200000000000003</v>
      </c>
      <c r="E10" s="7">
        <v>5.67</v>
      </c>
    </row>
    <row r="11" spans="1:5" x14ac:dyDescent="0.35">
      <c r="A11" s="11" t="s">
        <v>14</v>
      </c>
      <c r="B11" s="3">
        <v>10.7</v>
      </c>
      <c r="C11" s="7">
        <v>29.2</v>
      </c>
      <c r="D11" s="7">
        <v>34.200000000000003</v>
      </c>
      <c r="E11" s="7">
        <v>4.87</v>
      </c>
    </row>
    <row r="12" spans="1:5" x14ac:dyDescent="0.35">
      <c r="A12" s="11" t="s">
        <v>15</v>
      </c>
      <c r="B12" s="3">
        <v>9.1</v>
      </c>
      <c r="C12" s="7">
        <v>29.1</v>
      </c>
      <c r="D12" s="7">
        <v>34.799999999999997</v>
      </c>
      <c r="E12" s="7">
        <v>4.8899999999999997</v>
      </c>
    </row>
    <row r="13" spans="1:5" x14ac:dyDescent="0.35">
      <c r="A13" s="11" t="s">
        <v>16</v>
      </c>
      <c r="B13" s="3">
        <v>7.2</v>
      </c>
      <c r="C13" s="7">
        <v>28.3</v>
      </c>
      <c r="D13" s="7">
        <v>33.1</v>
      </c>
      <c r="E13" s="7">
        <v>6.11</v>
      </c>
    </row>
    <row r="14" spans="1:5" x14ac:dyDescent="0.35">
      <c r="A14" s="11" t="s">
        <v>17</v>
      </c>
      <c r="B14" s="3">
        <v>5.5</v>
      </c>
      <c r="C14" s="7">
        <v>29.8</v>
      </c>
      <c r="D14" s="7">
        <v>33.6</v>
      </c>
      <c r="E14" s="7">
        <v>4.47</v>
      </c>
    </row>
    <row r="15" spans="1:5" x14ac:dyDescent="0.35">
      <c r="A15" s="11" t="s">
        <v>18</v>
      </c>
      <c r="B15" s="3">
        <v>3.1</v>
      </c>
      <c r="C15" s="7">
        <v>28.4</v>
      </c>
      <c r="D15" s="7">
        <v>34.799999999999997</v>
      </c>
      <c r="E15" s="7">
        <v>5.34</v>
      </c>
    </row>
    <row r="16" spans="1:5" x14ac:dyDescent="0.35">
      <c r="A16" s="11" t="s">
        <v>19</v>
      </c>
      <c r="B16" s="3">
        <v>1.9</v>
      </c>
      <c r="C16" s="7">
        <v>28.6</v>
      </c>
      <c r="D16" s="7">
        <v>33.6</v>
      </c>
      <c r="E16" s="7">
        <v>5.05</v>
      </c>
    </row>
    <row r="17" spans="1:5" x14ac:dyDescent="0.35">
      <c r="A17" s="11" t="s">
        <v>20</v>
      </c>
      <c r="B17" s="3">
        <v>0.9</v>
      </c>
      <c r="C17" s="7">
        <v>27.8</v>
      </c>
      <c r="D17" s="7">
        <v>34.299999999999997</v>
      </c>
      <c r="E17" s="7">
        <v>2.92</v>
      </c>
    </row>
    <row r="18" spans="1:5" x14ac:dyDescent="0.35">
      <c r="A18" s="11" t="s">
        <v>21</v>
      </c>
      <c r="B18" s="3">
        <v>0.7</v>
      </c>
      <c r="C18" s="7">
        <v>28.4</v>
      </c>
      <c r="D18" s="7">
        <v>34.200000000000003</v>
      </c>
      <c r="E18" s="7">
        <v>3.76</v>
      </c>
    </row>
    <row r="19" spans="1:5" x14ac:dyDescent="0.35">
      <c r="A19" s="11" t="s">
        <v>22</v>
      </c>
      <c r="B19" s="3">
        <v>1.6</v>
      </c>
      <c r="C19" s="7">
        <v>28</v>
      </c>
      <c r="D19" s="7">
        <v>33.1</v>
      </c>
      <c r="E19" s="7">
        <v>3.05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F460-8E6F-4AD4-9820-121DC30552A8}">
  <dimension ref="A1:E19"/>
  <sheetViews>
    <sheetView workbookViewId="0">
      <selection activeCell="R20" sqref="R20"/>
    </sheetView>
  </sheetViews>
  <sheetFormatPr defaultRowHeight="14.5" x14ac:dyDescent="0.35"/>
  <sheetData>
    <row r="1" spans="1:5" x14ac:dyDescent="0.35">
      <c r="A1" s="1" t="s">
        <v>1</v>
      </c>
      <c r="B1" s="2" t="s">
        <v>3</v>
      </c>
      <c r="C1" s="10" t="s">
        <v>41</v>
      </c>
      <c r="D1" s="10" t="s">
        <v>42</v>
      </c>
      <c r="E1" s="10" t="s">
        <v>34</v>
      </c>
    </row>
    <row r="2" spans="1:5" x14ac:dyDescent="0.35">
      <c r="A2" s="1" t="s">
        <v>5</v>
      </c>
      <c r="B2" s="3">
        <v>8.8000000000000007</v>
      </c>
      <c r="C2" s="7">
        <v>27.4</v>
      </c>
      <c r="D2" s="7">
        <v>32</v>
      </c>
      <c r="E2" s="7">
        <v>4.6100000000000003</v>
      </c>
    </row>
    <row r="3" spans="1:5" x14ac:dyDescent="0.35">
      <c r="A3" s="1" t="s">
        <v>6</v>
      </c>
      <c r="B3" s="3">
        <v>9.1</v>
      </c>
      <c r="C3" s="7">
        <v>27.6</v>
      </c>
      <c r="D3" s="7">
        <v>33.1</v>
      </c>
      <c r="E3" s="7">
        <v>5.7</v>
      </c>
    </row>
    <row r="4" spans="1:5" x14ac:dyDescent="0.35">
      <c r="A4" s="1" t="s">
        <v>7</v>
      </c>
      <c r="B4" s="3">
        <v>9.3000000000000007</v>
      </c>
      <c r="C4" s="7">
        <v>28.3</v>
      </c>
      <c r="D4" s="7">
        <v>33.1</v>
      </c>
      <c r="E4" s="7">
        <v>4.54</v>
      </c>
    </row>
    <row r="5" spans="1:5" x14ac:dyDescent="0.35">
      <c r="A5" s="1" t="s">
        <v>8</v>
      </c>
      <c r="B5" s="3">
        <v>9.6</v>
      </c>
      <c r="C5" s="7">
        <v>28</v>
      </c>
      <c r="D5" s="7">
        <v>32</v>
      </c>
      <c r="E5" s="7">
        <v>4.87</v>
      </c>
    </row>
    <row r="6" spans="1:5" x14ac:dyDescent="0.35">
      <c r="A6" s="1" t="s">
        <v>9</v>
      </c>
      <c r="B6" s="3">
        <v>9.9</v>
      </c>
      <c r="C6" s="7">
        <v>27.7</v>
      </c>
      <c r="D6" s="7">
        <v>30.3</v>
      </c>
      <c r="E6" s="7">
        <v>4.53</v>
      </c>
    </row>
    <row r="7" spans="1:5" x14ac:dyDescent="0.35">
      <c r="A7" s="1" t="s">
        <v>10</v>
      </c>
      <c r="B7" s="3">
        <v>10.8</v>
      </c>
      <c r="C7" s="7">
        <v>27.7</v>
      </c>
      <c r="D7" s="7">
        <v>32.5</v>
      </c>
      <c r="E7" s="7">
        <v>4.8</v>
      </c>
    </row>
    <row r="8" spans="1:5" x14ac:dyDescent="0.35">
      <c r="A8" s="1" t="s">
        <v>11</v>
      </c>
      <c r="B8" s="3">
        <v>11.1</v>
      </c>
      <c r="C8" s="7">
        <v>27.8</v>
      </c>
      <c r="D8" s="7">
        <v>33.6</v>
      </c>
      <c r="E8" s="7">
        <v>5.19</v>
      </c>
    </row>
    <row r="9" spans="1:5" x14ac:dyDescent="0.35">
      <c r="A9" s="1" t="s">
        <v>12</v>
      </c>
      <c r="B9" s="3">
        <v>11.9</v>
      </c>
      <c r="C9" s="7">
        <v>27.5</v>
      </c>
      <c r="D9" s="7">
        <v>32.5</v>
      </c>
      <c r="E9" s="7">
        <v>4.8</v>
      </c>
    </row>
    <row r="10" spans="1:5" x14ac:dyDescent="0.35">
      <c r="A10" s="1" t="s">
        <v>13</v>
      </c>
      <c r="B10" s="3">
        <v>11.1</v>
      </c>
      <c r="C10" s="7">
        <v>27.7</v>
      </c>
      <c r="D10" s="7">
        <v>32.5</v>
      </c>
      <c r="E10" s="7">
        <v>4.32</v>
      </c>
    </row>
    <row r="11" spans="1:5" x14ac:dyDescent="0.35">
      <c r="A11" s="1" t="s">
        <v>14</v>
      </c>
      <c r="B11" s="3">
        <v>10.3</v>
      </c>
      <c r="C11" s="7">
        <v>28</v>
      </c>
      <c r="D11" s="7">
        <v>34.799999999999997</v>
      </c>
      <c r="E11" s="7">
        <v>5.59</v>
      </c>
    </row>
    <row r="12" spans="1:5" x14ac:dyDescent="0.35">
      <c r="A12" s="1" t="s">
        <v>15</v>
      </c>
      <c r="B12" s="3">
        <v>8.8000000000000007</v>
      </c>
      <c r="C12" s="7">
        <v>28.1</v>
      </c>
      <c r="D12" s="7">
        <v>36</v>
      </c>
      <c r="E12" s="7">
        <v>4.3899999999999997</v>
      </c>
    </row>
    <row r="13" spans="1:5" x14ac:dyDescent="0.35">
      <c r="A13" s="1" t="s">
        <v>16</v>
      </c>
      <c r="B13" s="3">
        <v>6.9</v>
      </c>
      <c r="C13" s="7">
        <v>28.1</v>
      </c>
      <c r="D13" s="7">
        <v>33.6</v>
      </c>
      <c r="E13" s="7">
        <v>4.43</v>
      </c>
    </row>
    <row r="14" spans="1:5" x14ac:dyDescent="0.35">
      <c r="A14" s="1" t="s">
        <v>17</v>
      </c>
      <c r="B14" s="3">
        <v>5.2</v>
      </c>
      <c r="C14" s="7">
        <v>28.5</v>
      </c>
      <c r="D14" s="7">
        <v>33.6</v>
      </c>
      <c r="E14" s="7">
        <v>5.38</v>
      </c>
    </row>
    <row r="15" spans="1:5" x14ac:dyDescent="0.35">
      <c r="A15" s="1" t="s">
        <v>18</v>
      </c>
      <c r="B15" s="3">
        <v>2.8</v>
      </c>
      <c r="C15" s="7">
        <v>28.3</v>
      </c>
      <c r="D15" s="7">
        <v>34.799999999999997</v>
      </c>
      <c r="E15" s="7">
        <v>3.8</v>
      </c>
    </row>
    <row r="16" spans="1:5" x14ac:dyDescent="0.35">
      <c r="A16" s="1" t="s">
        <v>19</v>
      </c>
      <c r="B16" s="3">
        <v>1.5</v>
      </c>
      <c r="C16" s="7">
        <v>28</v>
      </c>
      <c r="D16" s="7">
        <v>34.200000000000003</v>
      </c>
      <c r="E16" s="7">
        <v>5.49</v>
      </c>
    </row>
    <row r="17" spans="1:5" x14ac:dyDescent="0.35">
      <c r="A17" s="1" t="s">
        <v>20</v>
      </c>
      <c r="B17" s="3">
        <v>0.7</v>
      </c>
      <c r="C17" s="7">
        <v>28</v>
      </c>
      <c r="D17" s="7">
        <v>33.1</v>
      </c>
      <c r="E17" s="7">
        <v>5.25</v>
      </c>
    </row>
    <row r="18" spans="1:5" x14ac:dyDescent="0.35">
      <c r="A18" s="1" t="s">
        <v>21</v>
      </c>
      <c r="B18" s="3">
        <v>0.5</v>
      </c>
      <c r="C18" s="7">
        <v>28.5</v>
      </c>
      <c r="D18" s="7">
        <v>34.200000000000003</v>
      </c>
      <c r="E18" s="7">
        <v>5.23</v>
      </c>
    </row>
    <row r="19" spans="1:5" x14ac:dyDescent="0.35">
      <c r="A19" s="1" t="s">
        <v>22</v>
      </c>
      <c r="B19" s="3">
        <v>1.4</v>
      </c>
      <c r="C19" s="7">
        <v>28.2</v>
      </c>
      <c r="D19" s="7">
        <v>33.1</v>
      </c>
      <c r="E19" s="7">
        <v>4.87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AC49-B64F-45A6-9F88-C60F30D4E3B5}">
  <dimension ref="A1:E19"/>
  <sheetViews>
    <sheetView tabSelected="1" zoomScale="54" workbookViewId="0">
      <selection activeCell="Q8" sqref="Q8"/>
    </sheetView>
  </sheetViews>
  <sheetFormatPr defaultRowHeight="14.5" x14ac:dyDescent="0.35"/>
  <sheetData>
    <row r="1" spans="1:5" x14ac:dyDescent="0.35">
      <c r="A1" s="1" t="s">
        <v>1</v>
      </c>
      <c r="B1" s="2" t="s">
        <v>43</v>
      </c>
      <c r="C1" s="10" t="s">
        <v>41</v>
      </c>
      <c r="D1" s="10" t="s">
        <v>42</v>
      </c>
      <c r="E1" s="10" t="s">
        <v>34</v>
      </c>
    </row>
    <row r="2" spans="1:5" x14ac:dyDescent="0.35">
      <c r="A2" s="11" t="s">
        <v>5</v>
      </c>
      <c r="B2" s="3">
        <f>'Pasang Surut'!D4</f>
        <v>9.1000000000000014</v>
      </c>
      <c r="C2" s="7">
        <f>('Pasang vs Suhu, Salinitas, DO'!C2+'Surut vs Suhu, Salinitas, DO'!C2)/2</f>
        <v>30.2</v>
      </c>
      <c r="D2" s="7">
        <f>('Pasang vs Suhu, Salinitas, DO'!D2+'Surut vs Suhu, Salinitas, DO'!D2)/2</f>
        <v>32.799999999999997</v>
      </c>
      <c r="E2" s="7">
        <f>('Pasang vs Suhu, Salinitas, DO'!E2+'Surut vs Suhu, Salinitas, DO'!E2)/2</f>
        <v>5.4</v>
      </c>
    </row>
    <row r="3" spans="1:5" x14ac:dyDescent="0.35">
      <c r="A3" s="11" t="s">
        <v>6</v>
      </c>
      <c r="B3" s="3">
        <f>'Pasang Surut'!D5</f>
        <v>9.4499999999999993</v>
      </c>
      <c r="C3" s="7">
        <f>('Pasang vs Suhu, Salinitas, DO'!C3+'Surut vs Suhu, Salinitas, DO'!C3)/2</f>
        <v>30.05</v>
      </c>
      <c r="D3" s="7">
        <f>('Pasang vs Suhu, Salinitas, DO'!D3+'Surut vs Suhu, Salinitas, DO'!D3)/2</f>
        <v>33.650000000000006</v>
      </c>
      <c r="E3" s="7">
        <f>('Pasang vs Suhu, Salinitas, DO'!E3+'Surut vs Suhu, Salinitas, DO'!E3)/2</f>
        <v>5.1850000000000005</v>
      </c>
    </row>
    <row r="4" spans="1:5" x14ac:dyDescent="0.35">
      <c r="A4" s="11" t="s">
        <v>7</v>
      </c>
      <c r="B4" s="3">
        <f>'Pasang Surut'!D6</f>
        <v>9.6999999999999993</v>
      </c>
      <c r="C4" s="7">
        <f>('Pasang vs Suhu, Salinitas, DO'!C4+'Surut vs Suhu, Salinitas, DO'!C4)/2</f>
        <v>30.450000000000003</v>
      </c>
      <c r="D4" s="7">
        <f>('Pasang vs Suhu, Salinitas, DO'!D4+'Surut vs Suhu, Salinitas, DO'!D4)/2</f>
        <v>33.950000000000003</v>
      </c>
      <c r="E4" s="7">
        <f>('Pasang vs Suhu, Salinitas, DO'!E4+'Surut vs Suhu, Salinitas, DO'!E4)/2</f>
        <v>5.0299999999999994</v>
      </c>
    </row>
    <row r="5" spans="1:5" x14ac:dyDescent="0.35">
      <c r="A5" s="11" t="s">
        <v>8</v>
      </c>
      <c r="B5" s="3">
        <f>'Pasang Surut'!D7</f>
        <v>10.050000000000001</v>
      </c>
      <c r="C5" s="7">
        <f>('Pasang vs Suhu, Salinitas, DO'!C5+'Surut vs Suhu, Salinitas, DO'!C5)/2</f>
        <v>29.1</v>
      </c>
      <c r="D5" s="7">
        <f>('Pasang vs Suhu, Salinitas, DO'!D5+'Surut vs Suhu, Salinitas, DO'!D5)/2</f>
        <v>34</v>
      </c>
      <c r="E5" s="7">
        <f>('Pasang vs Suhu, Salinitas, DO'!E5+'Surut vs Suhu, Salinitas, DO'!E5)/2</f>
        <v>4.7300000000000004</v>
      </c>
    </row>
    <row r="6" spans="1:5" x14ac:dyDescent="0.35">
      <c r="A6" s="11" t="s">
        <v>9</v>
      </c>
      <c r="B6" s="3">
        <f>'Pasang Surut'!D8</f>
        <v>10.3</v>
      </c>
      <c r="C6" s="7">
        <f>('Pasang vs Suhu, Salinitas, DO'!C6+'Surut vs Suhu, Salinitas, DO'!C6)/2</f>
        <v>28.6</v>
      </c>
      <c r="D6" s="7">
        <f>('Pasang vs Suhu, Salinitas, DO'!D6+'Surut vs Suhu, Salinitas, DO'!D6)/2</f>
        <v>31.4</v>
      </c>
      <c r="E6" s="7">
        <f>('Pasang vs Suhu, Salinitas, DO'!E6+'Surut vs Suhu, Salinitas, DO'!E6)/2</f>
        <v>4.92</v>
      </c>
    </row>
    <row r="7" spans="1:5" x14ac:dyDescent="0.35">
      <c r="A7" s="11" t="s">
        <v>10</v>
      </c>
      <c r="B7" s="3">
        <f>'Pasang Surut'!D9</f>
        <v>10.9</v>
      </c>
      <c r="C7" s="7">
        <f>('Pasang vs Suhu, Salinitas, DO'!C7+'Surut vs Suhu, Salinitas, DO'!C7)/2</f>
        <v>28.85</v>
      </c>
      <c r="D7" s="7">
        <f>('Pasang vs Suhu, Salinitas, DO'!D7+'Surut vs Suhu, Salinitas, DO'!D7)/2</f>
        <v>33</v>
      </c>
      <c r="E7" s="7">
        <f>('Pasang vs Suhu, Salinitas, DO'!E7+'Surut vs Suhu, Salinitas, DO'!E7)/2</f>
        <v>4.7799999999999994</v>
      </c>
    </row>
    <row r="8" spans="1:5" x14ac:dyDescent="0.35">
      <c r="A8" s="11" t="s">
        <v>11</v>
      </c>
      <c r="B8" s="3">
        <f>'Pasang Surut'!D10</f>
        <v>11.35</v>
      </c>
      <c r="C8" s="7">
        <f>('Pasang vs Suhu, Salinitas, DO'!C8+'Surut vs Suhu, Salinitas, DO'!C8)/2</f>
        <v>29.15</v>
      </c>
      <c r="D8" s="7">
        <f>('Pasang vs Suhu, Salinitas, DO'!D8+'Surut vs Suhu, Salinitas, DO'!D8)/2</f>
        <v>34.799999999999997</v>
      </c>
      <c r="E8" s="7">
        <f>('Pasang vs Suhu, Salinitas, DO'!E8+'Surut vs Suhu, Salinitas, DO'!E8)/2</f>
        <v>5.4</v>
      </c>
    </row>
    <row r="9" spans="1:5" x14ac:dyDescent="0.35">
      <c r="A9" s="11" t="s">
        <v>12</v>
      </c>
      <c r="B9" s="3">
        <f>'Pasang Surut'!D11</f>
        <v>12.2</v>
      </c>
      <c r="C9" s="7">
        <f>('Pasang vs Suhu, Salinitas, DO'!C9+'Surut vs Suhu, Salinitas, DO'!C9)/2</f>
        <v>28.4</v>
      </c>
      <c r="D9" s="7">
        <f>('Pasang vs Suhu, Salinitas, DO'!D9+'Surut vs Suhu, Salinitas, DO'!D9)/2</f>
        <v>33.049999999999997</v>
      </c>
      <c r="E9" s="7">
        <f>('Pasang vs Suhu, Salinitas, DO'!E9+'Surut vs Suhu, Salinitas, DO'!E9)/2</f>
        <v>5.2549999999999999</v>
      </c>
    </row>
    <row r="10" spans="1:5" x14ac:dyDescent="0.35">
      <c r="A10" s="11" t="s">
        <v>13</v>
      </c>
      <c r="B10" s="3">
        <f>'Pasang Surut'!D12</f>
        <v>11.3</v>
      </c>
      <c r="C10" s="7">
        <f>('Pasang vs Suhu, Salinitas, DO'!C10+'Surut vs Suhu, Salinitas, DO'!C10)/2</f>
        <v>28.9</v>
      </c>
      <c r="D10" s="7">
        <f>('Pasang vs Suhu, Salinitas, DO'!D10+'Surut vs Suhu, Salinitas, DO'!D10)/2</f>
        <v>33.35</v>
      </c>
      <c r="E10" s="7">
        <f>('Pasang vs Suhu, Salinitas, DO'!E10+'Surut vs Suhu, Salinitas, DO'!E10)/2</f>
        <v>4.9950000000000001</v>
      </c>
    </row>
    <row r="11" spans="1:5" x14ac:dyDescent="0.35">
      <c r="A11" s="11" t="s">
        <v>14</v>
      </c>
      <c r="B11" s="3">
        <f>'Pasang Surut'!D13</f>
        <v>10.5</v>
      </c>
      <c r="C11" s="7">
        <f>('Pasang vs Suhu, Salinitas, DO'!C11+'Surut vs Suhu, Salinitas, DO'!C11)/2</f>
        <v>28.6</v>
      </c>
      <c r="D11" s="7">
        <f>('Pasang vs Suhu, Salinitas, DO'!D11+'Surut vs Suhu, Salinitas, DO'!D11)/2</f>
        <v>34.5</v>
      </c>
      <c r="E11" s="7">
        <f>('Pasang vs Suhu, Salinitas, DO'!E11+'Surut vs Suhu, Salinitas, DO'!E11)/2</f>
        <v>5.23</v>
      </c>
    </row>
    <row r="12" spans="1:5" x14ac:dyDescent="0.35">
      <c r="A12" s="11" t="s">
        <v>15</v>
      </c>
      <c r="B12" s="3">
        <f>'Pasang Surut'!D14</f>
        <v>8.9499999999999993</v>
      </c>
      <c r="C12" s="7">
        <f>('Pasang vs Suhu, Salinitas, DO'!C12+'Surut vs Suhu, Salinitas, DO'!C12)/2</f>
        <v>28.6</v>
      </c>
      <c r="D12" s="7">
        <f>('Pasang vs Suhu, Salinitas, DO'!D12+'Surut vs Suhu, Salinitas, DO'!D12)/2</f>
        <v>35.4</v>
      </c>
      <c r="E12" s="7">
        <f>('Pasang vs Suhu, Salinitas, DO'!E12+'Surut vs Suhu, Salinitas, DO'!E12)/2</f>
        <v>4.6399999999999997</v>
      </c>
    </row>
    <row r="13" spans="1:5" x14ac:dyDescent="0.35">
      <c r="A13" s="11" t="s">
        <v>16</v>
      </c>
      <c r="B13" s="3">
        <f>'Pasang Surut'!D15</f>
        <v>7.0500000000000007</v>
      </c>
      <c r="C13" s="7">
        <f>('Pasang vs Suhu, Salinitas, DO'!C13+'Surut vs Suhu, Salinitas, DO'!C13)/2</f>
        <v>28.200000000000003</v>
      </c>
      <c r="D13" s="7">
        <f>('Pasang vs Suhu, Salinitas, DO'!D13+'Surut vs Suhu, Salinitas, DO'!D13)/2</f>
        <v>33.35</v>
      </c>
      <c r="E13" s="7">
        <f>('Pasang vs Suhu, Salinitas, DO'!E13+'Surut vs Suhu, Salinitas, DO'!E13)/2</f>
        <v>5.27</v>
      </c>
    </row>
    <row r="14" spans="1:5" x14ac:dyDescent="0.35">
      <c r="A14" s="11" t="s">
        <v>17</v>
      </c>
      <c r="B14" s="3">
        <f>'Pasang Surut'!D16</f>
        <v>5.35</v>
      </c>
      <c r="C14" s="7">
        <f>('Pasang vs Suhu, Salinitas, DO'!C14+'Surut vs Suhu, Salinitas, DO'!C14)/2</f>
        <v>29.15</v>
      </c>
      <c r="D14" s="7">
        <f>('Pasang vs Suhu, Salinitas, DO'!D14+'Surut vs Suhu, Salinitas, DO'!D14)/2</f>
        <v>33.6</v>
      </c>
      <c r="E14" s="7">
        <f>('Pasang vs Suhu, Salinitas, DO'!E14+'Surut vs Suhu, Salinitas, DO'!E14)/2</f>
        <v>4.9249999999999998</v>
      </c>
    </row>
    <row r="15" spans="1:5" x14ac:dyDescent="0.35">
      <c r="A15" s="11" t="s">
        <v>18</v>
      </c>
      <c r="B15" s="3">
        <f>'Pasang Surut'!D17</f>
        <v>2.95</v>
      </c>
      <c r="C15" s="7">
        <f>('Pasang vs Suhu, Salinitas, DO'!C15+'Surut vs Suhu, Salinitas, DO'!C15)/2</f>
        <v>28.35</v>
      </c>
      <c r="D15" s="7">
        <f>('Pasang vs Suhu, Salinitas, DO'!D15+'Surut vs Suhu, Salinitas, DO'!D15)/2</f>
        <v>34.799999999999997</v>
      </c>
      <c r="E15" s="7">
        <f>('Pasang vs Suhu, Salinitas, DO'!E15+'Surut vs Suhu, Salinitas, DO'!E15)/2</f>
        <v>4.57</v>
      </c>
    </row>
    <row r="16" spans="1:5" x14ac:dyDescent="0.35">
      <c r="A16" s="11" t="s">
        <v>19</v>
      </c>
      <c r="B16" s="3">
        <f>'Pasang Surut'!D18</f>
        <v>1.7</v>
      </c>
      <c r="C16" s="7">
        <f>('Pasang vs Suhu, Salinitas, DO'!C16+'Surut vs Suhu, Salinitas, DO'!C16)/2</f>
        <v>28.3</v>
      </c>
      <c r="D16" s="7">
        <f>('Pasang vs Suhu, Salinitas, DO'!D16+'Surut vs Suhu, Salinitas, DO'!D16)/2</f>
        <v>33.900000000000006</v>
      </c>
      <c r="E16" s="7">
        <f>('Pasang vs Suhu, Salinitas, DO'!E16+'Surut vs Suhu, Salinitas, DO'!E16)/2</f>
        <v>5.27</v>
      </c>
    </row>
    <row r="17" spans="1:5" x14ac:dyDescent="0.35">
      <c r="A17" s="11" t="s">
        <v>20</v>
      </c>
      <c r="B17" s="3">
        <f>'Pasang Surut'!D19</f>
        <v>0.8</v>
      </c>
      <c r="C17" s="7">
        <f>('Pasang vs Suhu, Salinitas, DO'!C17+'Surut vs Suhu, Salinitas, DO'!C17)/2</f>
        <v>27.9</v>
      </c>
      <c r="D17" s="7">
        <f>('Pasang vs Suhu, Salinitas, DO'!D17+'Surut vs Suhu, Salinitas, DO'!D17)/2</f>
        <v>33.700000000000003</v>
      </c>
      <c r="E17" s="7">
        <f>('Pasang vs Suhu, Salinitas, DO'!E17+'Surut vs Suhu, Salinitas, DO'!E17)/2</f>
        <v>4.085</v>
      </c>
    </row>
    <row r="18" spans="1:5" x14ac:dyDescent="0.35">
      <c r="A18" s="11" t="s">
        <v>21</v>
      </c>
      <c r="B18" s="3">
        <f>'Pasang Surut'!D20</f>
        <v>0.6</v>
      </c>
      <c r="C18" s="7">
        <f>('Pasang vs Suhu, Salinitas, DO'!C18+'Surut vs Suhu, Salinitas, DO'!C18)/2</f>
        <v>28.45</v>
      </c>
      <c r="D18" s="7">
        <f>('Pasang vs Suhu, Salinitas, DO'!D18+'Surut vs Suhu, Salinitas, DO'!D18)/2</f>
        <v>34.200000000000003</v>
      </c>
      <c r="E18" s="7">
        <f>('Pasang vs Suhu, Salinitas, DO'!E18+'Surut vs Suhu, Salinitas, DO'!E18)/2</f>
        <v>4.4950000000000001</v>
      </c>
    </row>
    <row r="19" spans="1:5" x14ac:dyDescent="0.35">
      <c r="A19" s="11" t="s">
        <v>22</v>
      </c>
      <c r="B19" s="3">
        <f>'Pasang Surut'!D21</f>
        <v>1.5</v>
      </c>
      <c r="C19" s="7">
        <f>('Pasang vs Suhu, Salinitas, DO'!C19+'Surut vs Suhu, Salinitas, DO'!C19)/2</f>
        <v>28.1</v>
      </c>
      <c r="D19" s="7">
        <f>('Pasang vs Suhu, Salinitas, DO'!D19+'Surut vs Suhu, Salinitas, DO'!D19)/2</f>
        <v>33.1</v>
      </c>
      <c r="E19" s="7">
        <f>('Pasang vs Suhu, Salinitas, DO'!E19+'Surut vs Suhu, Salinitas, DO'!E19)/2</f>
        <v>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Pasang Surut</vt:lpstr>
      <vt:lpstr>Suhu, Salinitas, DO</vt:lpstr>
      <vt:lpstr>Pasang vs Suhu, Salinitas, DO</vt:lpstr>
      <vt:lpstr>Surut vs Suhu, Salinitas, DO</vt:lpstr>
      <vt:lpstr>PASU vs AVG(Suhu Salinitas 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2025-02-05T14:01:30Z</dcterms:created>
  <dcterms:modified xsi:type="dcterms:W3CDTF">2025-02-08T04:38:21Z</dcterms:modified>
</cp:coreProperties>
</file>