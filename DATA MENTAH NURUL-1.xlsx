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1C0E099-46FA-4487-86EC-73B92DBF1DEC}" xr6:coauthVersionLast="47" xr6:coauthVersionMax="47" xr10:uidLastSave="{00000000-0000-0000-0000-000000000000}"/>
  <bookViews>
    <workbookView xWindow="-110" yWindow="-110" windowWidth="19420" windowHeight="10300" activeTab="1" xr2:uid="{152062B6-63EB-4126-A022-D2DADB7FBCA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3" l="1"/>
  <c r="J10" i="3"/>
  <c r="K6" i="3"/>
  <c r="J6" i="3"/>
  <c r="K14" i="3"/>
  <c r="J14" i="3"/>
  <c r="K18" i="3"/>
  <c r="J18" i="3"/>
  <c r="K22" i="3"/>
  <c r="J22" i="3"/>
  <c r="K26" i="3"/>
  <c r="J26" i="3"/>
  <c r="I26" i="3"/>
  <c r="I22" i="3"/>
  <c r="I18" i="3"/>
  <c r="I14" i="3"/>
  <c r="I10" i="3"/>
  <c r="I6" i="3"/>
  <c r="B6" i="3"/>
  <c r="D26" i="3"/>
  <c r="C26" i="3"/>
  <c r="B26" i="3"/>
  <c r="D22" i="3"/>
  <c r="C22" i="3"/>
  <c r="B22" i="3"/>
  <c r="D18" i="3"/>
  <c r="C18" i="3"/>
  <c r="B18" i="3"/>
  <c r="D14" i="3"/>
  <c r="C14" i="3"/>
  <c r="B14" i="3"/>
  <c r="D10" i="3"/>
  <c r="C10" i="3"/>
  <c r="B10" i="3"/>
  <c r="D6" i="3"/>
  <c r="C6" i="3"/>
  <c r="I22" i="2"/>
  <c r="H22" i="2"/>
  <c r="I23" i="2" s="1"/>
  <c r="G22" i="2"/>
  <c r="F22" i="2"/>
  <c r="C22" i="2"/>
  <c r="B22" i="2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43" i="1" l="1"/>
  <c r="B23" i="2"/>
  <c r="G23" i="2"/>
  <c r="D42" i="1"/>
</calcChain>
</file>

<file path=xl/sharedStrings.xml><?xml version="1.0" encoding="utf-8"?>
<sst xmlns="http://schemas.openxmlformats.org/spreadsheetml/2006/main" count="198" uniqueCount="67">
  <si>
    <t>DATA PASANG SURUT DI PULAU SANROBENGI</t>
  </si>
  <si>
    <t>Jam</t>
  </si>
  <si>
    <t>Pasang</t>
  </si>
  <si>
    <t>Surut</t>
  </si>
  <si>
    <t>H</t>
  </si>
  <si>
    <t>00.00</t>
  </si>
  <si>
    <t>01.00</t>
  </si>
  <si>
    <t>02.00</t>
  </si>
  <si>
    <t>03.00</t>
  </si>
  <si>
    <t>04.00</t>
  </si>
  <si>
    <t>05.00</t>
  </si>
  <si>
    <t>06.00</t>
  </si>
  <si>
    <t>07.00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</si>
  <si>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</si>
  <si>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</si>
  <si>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</si>
  <si>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</si>
  <si>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</si>
  <si>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</si>
  <si>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</si>
  <si>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</si>
  <si>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</si>
  <si>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</si>
  <si>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</si>
  <si>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19.00</t>
  </si>
  <si>
    <t>20.00</t>
  </si>
  <si>
    <t>21.00</t>
  </si>
  <si>
    <t>22.00</t>
  </si>
  <si>
    <t>23.00</t>
  </si>
  <si>
    <t>24.00</t>
  </si>
  <si>
    <t>TOTAL MUKA AIR RATA-RATA =</t>
  </si>
  <si>
    <t>MSL =</t>
  </si>
  <si>
    <t>SUHU</t>
  </si>
  <si>
    <t>titik</t>
  </si>
  <si>
    <t>pasang</t>
  </si>
  <si>
    <t>surut</t>
  </si>
  <si>
    <t>1.1</t>
  </si>
  <si>
    <t>2.1</t>
  </si>
  <si>
    <t>3.1</t>
  </si>
  <si>
    <t>4.1</t>
  </si>
  <si>
    <t>5.1</t>
  </si>
  <si>
    <t>6.1</t>
  </si>
  <si>
    <t>1.2</t>
  </si>
  <si>
    <t>2.2</t>
  </si>
  <si>
    <t>3.2</t>
  </si>
  <si>
    <t>4.2</t>
  </si>
  <si>
    <t>5.2</t>
  </si>
  <si>
    <t>6.2</t>
  </si>
  <si>
    <t>1.3</t>
  </si>
  <si>
    <t>2.3</t>
  </si>
  <si>
    <t>3.3</t>
  </si>
  <si>
    <t>4.3</t>
  </si>
  <si>
    <t>5.3</t>
  </si>
  <si>
    <t>6.3</t>
  </si>
  <si>
    <t>rata-rata</t>
  </si>
  <si>
    <t>perbedaan rata2</t>
  </si>
  <si>
    <t>SALINITAS</t>
  </si>
  <si>
    <t>=</t>
  </si>
  <si>
    <t>DO</t>
  </si>
  <si>
    <t>Stasiun</t>
  </si>
  <si>
    <t>PASANG</t>
  </si>
  <si>
    <t>Suhu</t>
  </si>
  <si>
    <t>Salinitas</t>
  </si>
  <si>
    <t>suhu</t>
  </si>
  <si>
    <t>salinitas</t>
  </si>
  <si>
    <t>SURUT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</si>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</sst>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/>
    <xf numFmtId="0" fontId="0" fillId="2" borderId="2" xfId="0" applyFill="1" applyBorder="1"/>
    <xf numFmtId="2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/>
    <xf numFmtId="0" fontId="1" fillId="4" borderId="0" xfId="0" applyFont="1" applyFill="1"/>
    <xf numFmtId="0" fontId="0" fillId="0" borderId="2" xfId="0" applyBorder="1" applyAlignment="1">
      <alignment horizontal="center"/>
    </xf>
    <xf numFmtId="0" fontId="0" fillId="4" borderId="2" xfId="0" applyFill="1" applyBorder="1"/>
    <xf numFmtId="0" fontId="0" fillId="5" borderId="0" xfId="0" applyFill="1" applyAlignment="1">
      <alignment horizontal="right"/>
    </xf>
    <xf numFmtId="0" fontId="0" fillId="5" borderId="0" xfId="0" applyFill="1"/>
    <xf numFmtId="0" fontId="0" fillId="0" borderId="0" xfId="0" applyAlignment="1">
      <alignment horizontal="right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6" borderId="2" xfId="0" applyFill="1" applyBorder="1"/>
    <xf numFmtId="2" fontId="0" fillId="6" borderId="2" xfId="0" applyNumberFormat="1" applyFill="1" applyBorder="1"/>
    <xf numFmtId="164" fontId="0" fillId="6" borderId="2" xfId="0" applyNumberFormat="1" applyFill="1" applyBorder="1"/>
    <xf numFmtId="1" fontId="0" fillId="6" borderId="2" xfId="0" applyNumberFormat="1" applyFill="1" applyBorder="1"/>
    <xf numFmtId="2" fontId="0" fillId="0" borderId="2" xfId="0" applyNumberFormat="1" applyBorder="1"/>
    <xf numFmtId="164" fontId="0" fillId="0" borderId="2" xfId="0" applyNumberFormat="1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suhu</a:t>
            </a:r>
            <a:r>
              <a:rPr lang="en-US" baseline="0"/>
              <a:t> terhadap pasang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069742164582368"/>
                  <c:y val="-0.254985729040569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Sheet1!$F$2:$F$19</c:f>
              <c:numCache>
                <c:formatCode>0.00</c:formatCode>
                <c:ptCount val="18"/>
                <c:pt idx="0">
                  <c:v>9.4</c:v>
                </c:pt>
                <c:pt idx="1">
                  <c:v>9.8000000000000007</c:v>
                </c:pt>
                <c:pt idx="2">
                  <c:v>10.1</c:v>
                </c:pt>
                <c:pt idx="3">
                  <c:v>10.5</c:v>
                </c:pt>
                <c:pt idx="4">
                  <c:v>10.7</c:v>
                </c:pt>
                <c:pt idx="5">
                  <c:v>11</c:v>
                </c:pt>
                <c:pt idx="6">
                  <c:v>11.6</c:v>
                </c:pt>
                <c:pt idx="7">
                  <c:v>12.5</c:v>
                </c:pt>
                <c:pt idx="8">
                  <c:v>11.5</c:v>
                </c:pt>
                <c:pt idx="9">
                  <c:v>10.7</c:v>
                </c:pt>
                <c:pt idx="10">
                  <c:v>9.1</c:v>
                </c:pt>
                <c:pt idx="11">
                  <c:v>7.2</c:v>
                </c:pt>
                <c:pt idx="12">
                  <c:v>5.5</c:v>
                </c:pt>
                <c:pt idx="13">
                  <c:v>3.1</c:v>
                </c:pt>
                <c:pt idx="14">
                  <c:v>1.9</c:v>
                </c:pt>
                <c:pt idx="15">
                  <c:v>0.9</c:v>
                </c:pt>
                <c:pt idx="16">
                  <c:v>0.7</c:v>
                </c:pt>
                <c:pt idx="17">
                  <c:v>1.6</c:v>
                </c:pt>
              </c:numCache>
            </c:numRef>
          </c:xVal>
          <c:yVal>
            <c:numRef>
              <c:f>Sheet1!$G$2:$G$19</c:f>
              <c:numCache>
                <c:formatCode>General</c:formatCode>
                <c:ptCount val="18"/>
                <c:pt idx="0">
                  <c:v>33</c:v>
                </c:pt>
                <c:pt idx="1">
                  <c:v>30.2</c:v>
                </c:pt>
                <c:pt idx="2">
                  <c:v>30.5</c:v>
                </c:pt>
                <c:pt idx="3">
                  <c:v>29.2</c:v>
                </c:pt>
                <c:pt idx="4">
                  <c:v>29.8</c:v>
                </c:pt>
                <c:pt idx="5">
                  <c:v>27.8</c:v>
                </c:pt>
                <c:pt idx="6">
                  <c:v>32.5</c:v>
                </c:pt>
                <c:pt idx="7">
                  <c:v>29.5</c:v>
                </c:pt>
                <c:pt idx="8">
                  <c:v>29.3</c:v>
                </c:pt>
                <c:pt idx="9">
                  <c:v>29.1</c:v>
                </c:pt>
                <c:pt idx="10">
                  <c:v>28.4</c:v>
                </c:pt>
                <c:pt idx="11">
                  <c:v>28.4</c:v>
                </c:pt>
                <c:pt idx="12">
                  <c:v>32.6</c:v>
                </c:pt>
                <c:pt idx="13">
                  <c:v>30</c:v>
                </c:pt>
                <c:pt idx="14">
                  <c:v>30.1</c:v>
                </c:pt>
                <c:pt idx="15">
                  <c:v>28.3</c:v>
                </c:pt>
                <c:pt idx="16">
                  <c:v>28.6</c:v>
                </c:pt>
                <c:pt idx="1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C7-41D6-83BE-3DE1831C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648496"/>
        <c:axId val="1815652816"/>
      </c:scatterChart>
      <c:valAx>
        <c:axId val="181564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652816"/>
        <c:crosses val="autoZero"/>
        <c:crossBetween val="midCat"/>
      </c:valAx>
      <c:valAx>
        <c:axId val="181565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64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suhu terhadap surut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266666666666666"/>
                  <c:y val="-0.198937372411781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Sheet1!$I$2:$I$19</c:f>
              <c:numCache>
                <c:formatCode>0.00</c:formatCode>
                <c:ptCount val="18"/>
                <c:pt idx="0">
                  <c:v>8.8000000000000007</c:v>
                </c:pt>
                <c:pt idx="1">
                  <c:v>9.1</c:v>
                </c:pt>
                <c:pt idx="2">
                  <c:v>9.3000000000000007</c:v>
                </c:pt>
                <c:pt idx="3">
                  <c:v>9.6</c:v>
                </c:pt>
                <c:pt idx="4">
                  <c:v>9.9</c:v>
                </c:pt>
                <c:pt idx="5">
                  <c:v>10.8</c:v>
                </c:pt>
                <c:pt idx="6">
                  <c:v>11.1</c:v>
                </c:pt>
                <c:pt idx="7">
                  <c:v>11.9</c:v>
                </c:pt>
                <c:pt idx="8">
                  <c:v>11.1</c:v>
                </c:pt>
                <c:pt idx="9">
                  <c:v>10.3</c:v>
                </c:pt>
                <c:pt idx="10">
                  <c:v>8.8000000000000007</c:v>
                </c:pt>
                <c:pt idx="11">
                  <c:v>6.9</c:v>
                </c:pt>
                <c:pt idx="12">
                  <c:v>5.2</c:v>
                </c:pt>
                <c:pt idx="13">
                  <c:v>2.8</c:v>
                </c:pt>
                <c:pt idx="14">
                  <c:v>1.5</c:v>
                </c:pt>
                <c:pt idx="15">
                  <c:v>0.7</c:v>
                </c:pt>
                <c:pt idx="16">
                  <c:v>0.5</c:v>
                </c:pt>
                <c:pt idx="17">
                  <c:v>1.4</c:v>
                </c:pt>
              </c:numCache>
            </c:numRef>
          </c:xVal>
          <c:yVal>
            <c:numRef>
              <c:f>Sheet1!$J$2:$J$19</c:f>
              <c:numCache>
                <c:formatCode>General</c:formatCode>
                <c:ptCount val="18"/>
                <c:pt idx="0">
                  <c:v>27.4</c:v>
                </c:pt>
                <c:pt idx="1">
                  <c:v>28</c:v>
                </c:pt>
                <c:pt idx="2">
                  <c:v>27.8</c:v>
                </c:pt>
                <c:pt idx="3">
                  <c:v>28</c:v>
                </c:pt>
                <c:pt idx="4">
                  <c:v>28.5</c:v>
                </c:pt>
                <c:pt idx="5">
                  <c:v>28</c:v>
                </c:pt>
                <c:pt idx="6">
                  <c:v>27.6</c:v>
                </c:pt>
                <c:pt idx="7">
                  <c:v>27.7</c:v>
                </c:pt>
                <c:pt idx="8">
                  <c:v>27.5</c:v>
                </c:pt>
                <c:pt idx="9">
                  <c:v>28.1</c:v>
                </c:pt>
                <c:pt idx="10">
                  <c:v>28.3</c:v>
                </c:pt>
                <c:pt idx="11">
                  <c:v>28.5</c:v>
                </c:pt>
                <c:pt idx="12">
                  <c:v>28.3</c:v>
                </c:pt>
                <c:pt idx="13">
                  <c:v>27.7</c:v>
                </c:pt>
                <c:pt idx="14">
                  <c:v>27.7</c:v>
                </c:pt>
                <c:pt idx="15">
                  <c:v>28.1</c:v>
                </c:pt>
                <c:pt idx="16">
                  <c:v>28</c:v>
                </c:pt>
                <c:pt idx="17">
                  <c:v>28.2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3E-4F09-91D9-EA56EE498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751360"/>
        <c:axId val="2132769600"/>
      </c:scatterChart>
      <c:valAx>
        <c:axId val="213275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69600"/>
        <c:crosses val="autoZero"/>
        <c:crossBetween val="midCat"/>
      </c:valAx>
      <c:valAx>
        <c:axId val="21327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5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salinitas</a:t>
            </a:r>
            <a:r>
              <a:rPr lang="en-US" baseline="0"/>
              <a:t> terhadap suhu pasang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171041119860018E-2"/>
                  <c:y val="-0.121423519976669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Sheet2!$L$3:$L$20</c:f>
              <c:numCache>
                <c:formatCode>General</c:formatCode>
                <c:ptCount val="18"/>
                <c:pt idx="0">
                  <c:v>33</c:v>
                </c:pt>
                <c:pt idx="1">
                  <c:v>32.5</c:v>
                </c:pt>
                <c:pt idx="2">
                  <c:v>32.6</c:v>
                </c:pt>
                <c:pt idx="3">
                  <c:v>30.2</c:v>
                </c:pt>
                <c:pt idx="4">
                  <c:v>29.5</c:v>
                </c:pt>
                <c:pt idx="5">
                  <c:v>30</c:v>
                </c:pt>
                <c:pt idx="6">
                  <c:v>30.5</c:v>
                </c:pt>
                <c:pt idx="7">
                  <c:v>29.3</c:v>
                </c:pt>
                <c:pt idx="8">
                  <c:v>30.1</c:v>
                </c:pt>
                <c:pt idx="9">
                  <c:v>29.2</c:v>
                </c:pt>
                <c:pt idx="10">
                  <c:v>29.1</c:v>
                </c:pt>
                <c:pt idx="11">
                  <c:v>28.3</c:v>
                </c:pt>
                <c:pt idx="12">
                  <c:v>29.8</c:v>
                </c:pt>
                <c:pt idx="13">
                  <c:v>28.4</c:v>
                </c:pt>
                <c:pt idx="14">
                  <c:v>28.6</c:v>
                </c:pt>
                <c:pt idx="15">
                  <c:v>27.8</c:v>
                </c:pt>
                <c:pt idx="16">
                  <c:v>28.4</c:v>
                </c:pt>
                <c:pt idx="17">
                  <c:v>28</c:v>
                </c:pt>
              </c:numCache>
            </c:numRef>
          </c:xVal>
          <c:yVal>
            <c:numRef>
              <c:f>Sheet2!$M$3:$M$20</c:f>
              <c:numCache>
                <c:formatCode>General</c:formatCode>
                <c:ptCount val="18"/>
                <c:pt idx="0">
                  <c:v>33.6</c:v>
                </c:pt>
                <c:pt idx="1">
                  <c:v>34.200000000000003</c:v>
                </c:pt>
                <c:pt idx="2">
                  <c:v>34.799999999999997</c:v>
                </c:pt>
                <c:pt idx="3">
                  <c:v>36</c:v>
                </c:pt>
                <c:pt idx="4">
                  <c:v>32.5</c:v>
                </c:pt>
                <c:pt idx="5">
                  <c:v>33.5</c:v>
                </c:pt>
                <c:pt idx="6">
                  <c:v>36</c:v>
                </c:pt>
                <c:pt idx="7">
                  <c:v>33.6</c:v>
                </c:pt>
                <c:pt idx="8">
                  <c:v>34.200000000000003</c:v>
                </c:pt>
                <c:pt idx="9">
                  <c:v>34.200000000000003</c:v>
                </c:pt>
                <c:pt idx="10">
                  <c:v>34.799999999999997</c:v>
                </c:pt>
                <c:pt idx="11">
                  <c:v>33.1</c:v>
                </c:pt>
                <c:pt idx="12">
                  <c:v>33.6</c:v>
                </c:pt>
                <c:pt idx="13">
                  <c:v>54.8</c:v>
                </c:pt>
                <c:pt idx="14">
                  <c:v>33.6</c:v>
                </c:pt>
                <c:pt idx="15">
                  <c:v>34.299999999999997</c:v>
                </c:pt>
                <c:pt idx="16">
                  <c:v>34.200000000000003</c:v>
                </c:pt>
                <c:pt idx="17">
                  <c:v>33.1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7E-4997-AEBA-8903053FF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260592"/>
        <c:axId val="1088283632"/>
      </c:scatterChart>
      <c:valAx>
        <c:axId val="108826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83632"/>
        <c:crosses val="autoZero"/>
        <c:crossBetween val="midCat"/>
      </c:valAx>
      <c:valAx>
        <c:axId val="108828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6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</a:t>
            </a:r>
            <a:r>
              <a:rPr lang="en-US" baseline="0"/>
              <a:t> terhadap suhu pasang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7723097112860898E-3"/>
                  <c:y val="0.177483960338291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Sheet2!$U$3:$U$20</c:f>
              <c:numCache>
                <c:formatCode>General</c:formatCode>
                <c:ptCount val="18"/>
                <c:pt idx="0">
                  <c:v>33</c:v>
                </c:pt>
                <c:pt idx="1">
                  <c:v>32.5</c:v>
                </c:pt>
                <c:pt idx="2">
                  <c:v>32.6</c:v>
                </c:pt>
                <c:pt idx="3">
                  <c:v>30.2</c:v>
                </c:pt>
                <c:pt idx="4">
                  <c:v>29.5</c:v>
                </c:pt>
                <c:pt idx="5">
                  <c:v>30</c:v>
                </c:pt>
                <c:pt idx="6">
                  <c:v>30.5</c:v>
                </c:pt>
                <c:pt idx="7">
                  <c:v>29.3</c:v>
                </c:pt>
                <c:pt idx="8">
                  <c:v>30.1</c:v>
                </c:pt>
                <c:pt idx="9">
                  <c:v>29.2</c:v>
                </c:pt>
                <c:pt idx="10">
                  <c:v>29.1</c:v>
                </c:pt>
                <c:pt idx="11">
                  <c:v>28.3</c:v>
                </c:pt>
                <c:pt idx="12">
                  <c:v>29.8</c:v>
                </c:pt>
                <c:pt idx="13">
                  <c:v>28.4</c:v>
                </c:pt>
                <c:pt idx="14">
                  <c:v>28.6</c:v>
                </c:pt>
                <c:pt idx="15">
                  <c:v>27.8</c:v>
                </c:pt>
                <c:pt idx="16">
                  <c:v>28.4</c:v>
                </c:pt>
                <c:pt idx="17">
                  <c:v>28</c:v>
                </c:pt>
              </c:numCache>
            </c:numRef>
          </c:xVal>
          <c:yVal>
            <c:numRef>
              <c:f>Sheet2!$V$3:$V$20</c:f>
              <c:numCache>
                <c:formatCode>General</c:formatCode>
                <c:ptCount val="18"/>
                <c:pt idx="0">
                  <c:v>4.6100000000000003</c:v>
                </c:pt>
                <c:pt idx="1">
                  <c:v>5.7</c:v>
                </c:pt>
                <c:pt idx="2">
                  <c:v>4.54</c:v>
                </c:pt>
                <c:pt idx="3">
                  <c:v>4.59</c:v>
                </c:pt>
                <c:pt idx="4">
                  <c:v>5.31</c:v>
                </c:pt>
                <c:pt idx="5">
                  <c:v>4.76</c:v>
                </c:pt>
                <c:pt idx="6">
                  <c:v>5.61</c:v>
                </c:pt>
                <c:pt idx="7">
                  <c:v>5.71</c:v>
                </c:pt>
                <c:pt idx="8">
                  <c:v>5.67</c:v>
                </c:pt>
                <c:pt idx="9">
                  <c:v>4.87</c:v>
                </c:pt>
                <c:pt idx="10">
                  <c:v>4.8899999999999997</c:v>
                </c:pt>
                <c:pt idx="11">
                  <c:v>6.11</c:v>
                </c:pt>
                <c:pt idx="12">
                  <c:v>4.47</c:v>
                </c:pt>
                <c:pt idx="13">
                  <c:v>5.34</c:v>
                </c:pt>
                <c:pt idx="14">
                  <c:v>5.05</c:v>
                </c:pt>
                <c:pt idx="15">
                  <c:v>2.92</c:v>
                </c:pt>
                <c:pt idx="16">
                  <c:v>3.76</c:v>
                </c:pt>
                <c:pt idx="17">
                  <c:v>3.05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C-4D33-BF04-0BE019857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172896"/>
        <c:axId val="1557168576"/>
      </c:scatterChart>
      <c:valAx>
        <c:axId val="155717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68576"/>
        <c:crosses val="autoZero"/>
        <c:crossBetween val="midCat"/>
      </c:valAx>
      <c:valAx>
        <c:axId val="15571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7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sali</a:t>
            </a:r>
            <a:r>
              <a:rPr lang="en-US" baseline="0"/>
              <a:t> terhadap suhu surut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695100612423448E-2"/>
                  <c:y val="-0.144669364246135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Sheet2!$Q$3:$Q$20</c:f>
              <c:numCache>
                <c:formatCode>General</c:formatCode>
                <c:ptCount val="18"/>
                <c:pt idx="0">
                  <c:v>27.4</c:v>
                </c:pt>
                <c:pt idx="1">
                  <c:v>27.6</c:v>
                </c:pt>
                <c:pt idx="2">
                  <c:v>28.3</c:v>
                </c:pt>
                <c:pt idx="3">
                  <c:v>28</c:v>
                </c:pt>
                <c:pt idx="4">
                  <c:v>27.7</c:v>
                </c:pt>
                <c:pt idx="5">
                  <c:v>27.7</c:v>
                </c:pt>
                <c:pt idx="6">
                  <c:v>27.8</c:v>
                </c:pt>
                <c:pt idx="7">
                  <c:v>27.5</c:v>
                </c:pt>
                <c:pt idx="8">
                  <c:v>27.7</c:v>
                </c:pt>
                <c:pt idx="9">
                  <c:v>28</c:v>
                </c:pt>
                <c:pt idx="10">
                  <c:v>28.1</c:v>
                </c:pt>
                <c:pt idx="11">
                  <c:v>28.1</c:v>
                </c:pt>
                <c:pt idx="12">
                  <c:v>28.5</c:v>
                </c:pt>
                <c:pt idx="13">
                  <c:v>28.3</c:v>
                </c:pt>
                <c:pt idx="14">
                  <c:v>28</c:v>
                </c:pt>
                <c:pt idx="15">
                  <c:v>28</c:v>
                </c:pt>
                <c:pt idx="16">
                  <c:v>28.5</c:v>
                </c:pt>
                <c:pt idx="17">
                  <c:v>28.2</c:v>
                </c:pt>
              </c:numCache>
            </c:numRef>
          </c:xVal>
          <c:yVal>
            <c:numRef>
              <c:f>Sheet2!$R$3:$R$20</c:f>
              <c:numCache>
                <c:formatCode>General</c:formatCode>
                <c:ptCount val="18"/>
                <c:pt idx="0">
                  <c:v>32</c:v>
                </c:pt>
                <c:pt idx="1">
                  <c:v>33.1</c:v>
                </c:pt>
                <c:pt idx="2">
                  <c:v>33.1</c:v>
                </c:pt>
                <c:pt idx="3">
                  <c:v>32</c:v>
                </c:pt>
                <c:pt idx="4">
                  <c:v>30.3</c:v>
                </c:pt>
                <c:pt idx="5">
                  <c:v>32.5</c:v>
                </c:pt>
                <c:pt idx="6">
                  <c:v>33.6</c:v>
                </c:pt>
                <c:pt idx="7">
                  <c:v>32.5</c:v>
                </c:pt>
                <c:pt idx="8">
                  <c:v>32.5</c:v>
                </c:pt>
                <c:pt idx="9">
                  <c:v>34.799999999999997</c:v>
                </c:pt>
                <c:pt idx="10">
                  <c:v>36</c:v>
                </c:pt>
                <c:pt idx="11">
                  <c:v>33.6</c:v>
                </c:pt>
                <c:pt idx="12">
                  <c:v>33.6</c:v>
                </c:pt>
                <c:pt idx="13">
                  <c:v>34.799999999999997</c:v>
                </c:pt>
                <c:pt idx="14">
                  <c:v>34.200000000000003</c:v>
                </c:pt>
                <c:pt idx="15">
                  <c:v>33.1</c:v>
                </c:pt>
                <c:pt idx="16">
                  <c:v>34.200000000000003</c:v>
                </c:pt>
                <c:pt idx="17">
                  <c:v>33.1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68-4544-802C-E49EC83D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274032"/>
        <c:axId val="1088290352"/>
      </c:scatterChart>
      <c:valAx>
        <c:axId val="108827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90352"/>
        <c:crosses val="autoZero"/>
        <c:crossBetween val="midCat"/>
      </c:valAx>
      <c:valAx>
        <c:axId val="108829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7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terhadap suhu surut</a:t>
            </a:r>
          </a:p>
        </c:rich>
      </c:tx>
      <c:layout>
        <c:manualLayout>
          <c:xMode val="edge"/>
          <c:yMode val="edge"/>
          <c:x val="0.29432639579273057"/>
          <c:y val="4.6920821114369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4169510061242344E-2"/>
                  <c:y val="0.108037693205016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Sheet2!$W$3:$W$20</c:f>
              <c:numCache>
                <c:formatCode>General</c:formatCode>
                <c:ptCount val="18"/>
                <c:pt idx="0">
                  <c:v>27.4</c:v>
                </c:pt>
                <c:pt idx="1">
                  <c:v>27.6</c:v>
                </c:pt>
                <c:pt idx="2">
                  <c:v>28.3</c:v>
                </c:pt>
                <c:pt idx="3">
                  <c:v>28</c:v>
                </c:pt>
                <c:pt idx="4">
                  <c:v>27.7</c:v>
                </c:pt>
                <c:pt idx="5">
                  <c:v>27.7</c:v>
                </c:pt>
                <c:pt idx="6">
                  <c:v>27.8</c:v>
                </c:pt>
                <c:pt idx="7">
                  <c:v>27.5</c:v>
                </c:pt>
                <c:pt idx="8">
                  <c:v>27.7</c:v>
                </c:pt>
                <c:pt idx="9">
                  <c:v>28</c:v>
                </c:pt>
                <c:pt idx="10">
                  <c:v>28.1</c:v>
                </c:pt>
                <c:pt idx="11">
                  <c:v>28.1</c:v>
                </c:pt>
                <c:pt idx="12">
                  <c:v>28.5</c:v>
                </c:pt>
                <c:pt idx="13">
                  <c:v>28.3</c:v>
                </c:pt>
                <c:pt idx="14">
                  <c:v>28</c:v>
                </c:pt>
                <c:pt idx="15">
                  <c:v>28</c:v>
                </c:pt>
                <c:pt idx="16">
                  <c:v>28.5</c:v>
                </c:pt>
                <c:pt idx="17">
                  <c:v>28.2</c:v>
                </c:pt>
              </c:numCache>
            </c:numRef>
          </c:xVal>
          <c:yVal>
            <c:numRef>
              <c:f>Sheet2!$X$3:$X$20</c:f>
              <c:numCache>
                <c:formatCode>General</c:formatCode>
                <c:ptCount val="18"/>
                <c:pt idx="0">
                  <c:v>4.6100000000000003</c:v>
                </c:pt>
                <c:pt idx="1">
                  <c:v>5.7</c:v>
                </c:pt>
                <c:pt idx="2">
                  <c:v>4.54</c:v>
                </c:pt>
                <c:pt idx="3">
                  <c:v>4.87</c:v>
                </c:pt>
                <c:pt idx="4">
                  <c:v>4.53</c:v>
                </c:pt>
                <c:pt idx="5">
                  <c:v>4.8</c:v>
                </c:pt>
                <c:pt idx="6">
                  <c:v>5.19</c:v>
                </c:pt>
                <c:pt idx="7">
                  <c:v>4.8</c:v>
                </c:pt>
                <c:pt idx="8">
                  <c:v>4.32</c:v>
                </c:pt>
                <c:pt idx="9">
                  <c:v>5.59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5.38</c:v>
                </c:pt>
                <c:pt idx="13">
                  <c:v>3.8</c:v>
                </c:pt>
                <c:pt idx="14">
                  <c:v>5.49</c:v>
                </c:pt>
                <c:pt idx="15">
                  <c:v>5.25</c:v>
                </c:pt>
                <c:pt idx="16">
                  <c:v>5.23</c:v>
                </c:pt>
                <c:pt idx="17">
                  <c:v>4.87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9-4FAE-86F7-9363B0EE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171456"/>
        <c:axId val="1557179136"/>
      </c:scatterChart>
      <c:valAx>
        <c:axId val="155717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79136"/>
        <c:crosses val="autoZero"/>
        <c:crossBetween val="midCat"/>
      </c:valAx>
      <c:valAx>
        <c:axId val="155717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7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salinitas</a:t>
            </a:r>
            <a:r>
              <a:rPr lang="en-US" baseline="0"/>
              <a:t> terhadap suhu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007677982160943E-2"/>
                  <c:y val="0.249805886563644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Sheet3!$M$3:$M$8</c:f>
              <c:numCache>
                <c:formatCode>General</c:formatCode>
                <c:ptCount val="6"/>
                <c:pt idx="0">
                  <c:v>32.700000000000003</c:v>
                </c:pt>
                <c:pt idx="1">
                  <c:v>29.9</c:v>
                </c:pt>
                <c:pt idx="2">
                  <c:v>30</c:v>
                </c:pt>
                <c:pt idx="3">
                  <c:v>28.9</c:v>
                </c:pt>
                <c:pt idx="4">
                  <c:v>28.9</c:v>
                </c:pt>
                <c:pt idx="5">
                  <c:v>28.1</c:v>
                </c:pt>
              </c:numCache>
            </c:numRef>
          </c:xVal>
          <c:yVal>
            <c:numRef>
              <c:f>Sheet3!$N$3:$N$8</c:f>
              <c:numCache>
                <c:formatCode>General</c:formatCode>
                <c:ptCount val="6"/>
                <c:pt idx="0">
                  <c:v>34.200000000000003</c:v>
                </c:pt>
                <c:pt idx="1">
                  <c:v>34</c:v>
                </c:pt>
                <c:pt idx="2">
                  <c:v>34.6</c:v>
                </c:pt>
                <c:pt idx="3">
                  <c:v>34</c:v>
                </c:pt>
                <c:pt idx="4">
                  <c:v>40.700000000000003</c:v>
                </c:pt>
                <c:pt idx="5">
                  <c:v>33.9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B-42C7-BAEB-A7CD46F93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564223"/>
        <c:axId val="1569566143"/>
      </c:scatterChart>
      <c:valAx>
        <c:axId val="156956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66143"/>
        <c:crosses val="autoZero"/>
        <c:crossBetween val="midCat"/>
      </c:valAx>
      <c:valAx>
        <c:axId val="156956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6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terhadap suhu psg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126662330653305E-2"/>
                  <c:y val="0.125244755244755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Sheet3!$O$3:$O$8</c:f>
              <c:numCache>
                <c:formatCode>General</c:formatCode>
                <c:ptCount val="6"/>
                <c:pt idx="0">
                  <c:v>32.700000000000003</c:v>
                </c:pt>
                <c:pt idx="1">
                  <c:v>29.9</c:v>
                </c:pt>
                <c:pt idx="2">
                  <c:v>30</c:v>
                </c:pt>
                <c:pt idx="3">
                  <c:v>28.9</c:v>
                </c:pt>
                <c:pt idx="4">
                  <c:v>28.9</c:v>
                </c:pt>
                <c:pt idx="5">
                  <c:v>28.1</c:v>
                </c:pt>
              </c:numCache>
            </c:numRef>
          </c:xVal>
          <c:yVal>
            <c:numRef>
              <c:f>Sheet3!$P$3:$P$8</c:f>
              <c:numCache>
                <c:formatCode>General</c:formatCode>
                <c:ptCount val="6"/>
                <c:pt idx="0">
                  <c:v>4.95</c:v>
                </c:pt>
                <c:pt idx="1">
                  <c:v>4.8899999999999997</c:v>
                </c:pt>
                <c:pt idx="2">
                  <c:v>5.66</c:v>
                </c:pt>
                <c:pt idx="3">
                  <c:v>5.29</c:v>
                </c:pt>
                <c:pt idx="4">
                  <c:v>4.95</c:v>
                </c:pt>
                <c:pt idx="5">
                  <c:v>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7-4986-8C0F-BBDDC6894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286512"/>
        <c:axId val="1088272592"/>
      </c:scatterChart>
      <c:valAx>
        <c:axId val="108828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72592"/>
        <c:crosses val="autoZero"/>
        <c:crossBetween val="midCat"/>
      </c:valAx>
      <c:valAx>
        <c:axId val="108827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8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salinitas</a:t>
            </a:r>
            <a:r>
              <a:rPr lang="en-US" baseline="0"/>
              <a:t> terhadap suhu srt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206762989577757"/>
                  <c:y val="-7.649122807017543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Sheet3!$M$11:$M$16</c:f>
              <c:numCache>
                <c:formatCode>General</c:formatCode>
                <c:ptCount val="6"/>
                <c:pt idx="0">
                  <c:v>27.8</c:v>
                </c:pt>
                <c:pt idx="1">
                  <c:v>27.8</c:v>
                </c:pt>
                <c:pt idx="2">
                  <c:v>27.7</c:v>
                </c:pt>
                <c:pt idx="3">
                  <c:v>28.1</c:v>
                </c:pt>
                <c:pt idx="4">
                  <c:v>28.3</c:v>
                </c:pt>
                <c:pt idx="5">
                  <c:v>28.2</c:v>
                </c:pt>
              </c:numCache>
            </c:numRef>
          </c:xVal>
          <c:yVal>
            <c:numRef>
              <c:f>Sheet3!$N$11:$N$16</c:f>
              <c:numCache>
                <c:formatCode>General</c:formatCode>
                <c:ptCount val="6"/>
                <c:pt idx="0">
                  <c:v>32.700000000000003</c:v>
                </c:pt>
                <c:pt idx="1">
                  <c:v>31.6</c:v>
                </c:pt>
                <c:pt idx="2">
                  <c:v>32.9</c:v>
                </c:pt>
                <c:pt idx="3">
                  <c:v>34.799999999999997</c:v>
                </c:pt>
                <c:pt idx="4">
                  <c:v>34.200000000000003</c:v>
                </c:pt>
                <c:pt idx="5">
                  <c:v>33.5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66-41A1-B8F0-512935C36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760"/>
        <c:axId val="1780296560"/>
      </c:scatterChart>
      <c:valAx>
        <c:axId val="178029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6560"/>
        <c:crosses val="autoZero"/>
        <c:crossBetween val="midCat"/>
      </c:valAx>
      <c:valAx>
        <c:axId val="17802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</a:t>
            </a:r>
            <a:r>
              <a:rPr lang="en-US" baseline="0"/>
              <a:t> terhadap suhu srt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9112326275975728E-3"/>
                  <c:y val="-4.67092205190327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Sheet3!$O$11:$O$16</c:f>
              <c:numCache>
                <c:formatCode>General</c:formatCode>
                <c:ptCount val="6"/>
                <c:pt idx="0">
                  <c:v>27.8</c:v>
                </c:pt>
                <c:pt idx="1">
                  <c:v>27.8</c:v>
                </c:pt>
                <c:pt idx="2">
                  <c:v>27.7</c:v>
                </c:pt>
                <c:pt idx="3">
                  <c:v>28.1</c:v>
                </c:pt>
                <c:pt idx="4">
                  <c:v>28.3</c:v>
                </c:pt>
                <c:pt idx="5">
                  <c:v>28.2</c:v>
                </c:pt>
              </c:numCache>
            </c:numRef>
          </c:xVal>
          <c:yVal>
            <c:numRef>
              <c:f>Sheet3!$P$11:$P$16</c:f>
              <c:numCache>
                <c:formatCode>General</c:formatCode>
                <c:ptCount val="6"/>
                <c:pt idx="0">
                  <c:v>4.95</c:v>
                </c:pt>
                <c:pt idx="1">
                  <c:v>4.7300000000000004</c:v>
                </c:pt>
                <c:pt idx="2">
                  <c:v>4.7699999999999996</c:v>
                </c:pt>
                <c:pt idx="3">
                  <c:v>4.8</c:v>
                </c:pt>
                <c:pt idx="4">
                  <c:v>4.8899999999999997</c:v>
                </c:pt>
                <c:pt idx="5">
                  <c:v>5.12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25-4ACC-99D3-0AC80D711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729648"/>
        <c:axId val="238727728"/>
      </c:scatterChart>
      <c:valAx>
        <c:axId val="23872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727728"/>
        <c:crosses val="autoZero"/>
        <c:crossBetween val="midCat"/>
      </c:valAx>
      <c:valAx>
        <c:axId val="23872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72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</xdr:row>
      <xdr:rowOff>34925</xdr:rowOff>
    </xdr:from>
    <xdr:to>
      <xdr:col>16</xdr:col>
      <xdr:colOff>552450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74C49-2B08-EB5D-0857-B175903DF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200025</xdr:colOff>
      <xdr:row>14</xdr:row>
      <xdr:rowOff>69850</xdr:rowOff>
    </xdr:from>
    <xdr:to>
      <xdr:col>16</xdr:col>
      <xdr:colOff>539750</xdr:colOff>
      <xdr:row>26</xdr:row>
      <xdr:rowOff>3174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16D93F-2B97-ED19-529C-96416EC5F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24</xdr:row>
      <xdr:rowOff>38100</xdr:rowOff>
    </xdr:from>
    <xdr:to>
      <xdr:col>6</xdr:col>
      <xdr:colOff>387350</xdr:colOff>
      <xdr:row>35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4BE9F0-1DC2-1E13-E51B-5A80C6A12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36</xdr:row>
      <xdr:rowOff>95250</xdr:rowOff>
    </xdr:from>
    <xdr:to>
      <xdr:col>6</xdr:col>
      <xdr:colOff>387350</xdr:colOff>
      <xdr:row>47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758569-ACD2-4040-EBEE-DAEE2AB4D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333375</xdr:colOff>
      <xdr:row>23</xdr:row>
      <xdr:rowOff>177800</xdr:rowOff>
    </xdr:from>
    <xdr:to>
      <xdr:col>14</xdr:col>
      <xdr:colOff>209550</xdr:colOff>
      <xdr:row>35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6B92CC0-143D-28E4-77DF-21B6BB70E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292099</xdr:colOff>
      <xdr:row>36</xdr:row>
      <xdr:rowOff>88900</xdr:rowOff>
    </xdr:from>
    <xdr:to>
      <xdr:col>14</xdr:col>
      <xdr:colOff>146050</xdr:colOff>
      <xdr:row>48</xdr:row>
      <xdr:rowOff>44450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E5D37E8-658B-82C8-FC1D-590D7954C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27</xdr:row>
      <xdr:rowOff>82550</xdr:rowOff>
    </xdr:from>
    <xdr:to>
      <xdr:col>6</xdr:col>
      <xdr:colOff>31750</xdr:colOff>
      <xdr:row>36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2DD34A-58D8-E3F3-801D-FA49187CE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469900</xdr:colOff>
      <xdr:row>27</xdr:row>
      <xdr:rowOff>69850</xdr:rowOff>
    </xdr:from>
    <xdr:to>
      <xdr:col>11</xdr:col>
      <xdr:colOff>260350</xdr:colOff>
      <xdr:row>37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280127-16E4-E62A-0C1A-E08DB00D5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196850</xdr:colOff>
      <xdr:row>32</xdr:row>
      <xdr:rowOff>114300</xdr:rowOff>
    </xdr:from>
    <xdr:to>
      <xdr:col>18</xdr:col>
      <xdr:colOff>355600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97E5F5-B089-CA23-8CE3-89BF6FE6D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228600</xdr:colOff>
      <xdr:row>20</xdr:row>
      <xdr:rowOff>133350</xdr:rowOff>
    </xdr:from>
    <xdr:to>
      <xdr:col>18</xdr:col>
      <xdr:colOff>158750</xdr:colOff>
      <xdr:row>30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E93441-3F3B-25B7-9A94-4FEA832AF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6017-5829-4A2B-B3D0-1AF3FDEE23E0}">
  <dimension ref="A1:J43"/>
  <sheetViews>
    <sheetView workbookViewId="0">
      <selection activeCell="C20" sqref="C20"/>
    </sheetView>
  </sheetViews>
  <sheetFormatPr defaultRowHeight="14.5" x14ac:dyDescent="0.35"/>
  <cols>
    <col min="4" max="4" width="8.7265625" customWidth="1"/>
  </cols>
  <sheetData>
    <row r="1" spans="1:10" x14ac:dyDescent="0.35">
      <c r="A1" s="24" t="s">
        <v>0</v>
      </c>
      <c r="B1" s="24"/>
      <c r="C1" s="24"/>
      <c r="D1" s="24"/>
    </row>
    <row r="2" spans="1:10" x14ac:dyDescent="0.35">
      <c r="A2" s="1" t="s">
        <v>1</v>
      </c>
      <c r="B2" s="2" t="s">
        <v>2</v>
      </c>
      <c r="C2" s="2" t="s">
        <v>3</v>
      </c>
      <c r="D2" s="2" t="s">
        <v>4</v>
      </c>
      <c r="F2" s="3">
        <v>9.4</v>
      </c>
      <c r="G2" s="7">
        <v>33</v>
      </c>
      <c r="I2" s="3">
        <v>8.8000000000000007</v>
      </c>
      <c r="J2" s="7">
        <v>27.4</v>
      </c>
    </row>
    <row r="3" spans="1:10" x14ac:dyDescent="0.35">
      <c r="A3" s="1" t="s">
        <v>5</v>
      </c>
      <c r="B3" s="3">
        <v>9.4</v>
      </c>
      <c r="C3" s="3">
        <v>8.8000000000000007</v>
      </c>
      <c r="D3" s="4">
        <f>((B3+C3)/2)</f>
        <v>9.1000000000000014</v>
      </c>
      <c r="F3" s="3">
        <v>9.8000000000000007</v>
      </c>
      <c r="G3" s="7">
        <v>30.2</v>
      </c>
      <c r="I3" s="3">
        <v>9.1</v>
      </c>
      <c r="J3" s="7">
        <v>28</v>
      </c>
    </row>
    <row r="4" spans="1:10" x14ac:dyDescent="0.35">
      <c r="A4" s="1" t="s">
        <v>6</v>
      </c>
      <c r="B4" s="3">
        <v>9.8000000000000007</v>
      </c>
      <c r="C4" s="3">
        <v>9.1</v>
      </c>
      <c r="D4" s="4">
        <f t="shared" ref="D4:D41" si="0">((B4+C4)/2)</f>
        <v>9.4499999999999993</v>
      </c>
      <c r="F4" s="3">
        <v>10.1</v>
      </c>
      <c r="G4" s="7">
        <v>30.5</v>
      </c>
      <c r="I4" s="3">
        <v>9.3000000000000007</v>
      </c>
      <c r="J4" s="7">
        <v>27.8</v>
      </c>
    </row>
    <row r="5" spans="1:10" x14ac:dyDescent="0.35">
      <c r="A5" s="1" t="s">
        <v>7</v>
      </c>
      <c r="B5" s="3">
        <v>10.1</v>
      </c>
      <c r="C5" s="3">
        <v>9.3000000000000007</v>
      </c>
      <c r="D5" s="4">
        <f t="shared" si="0"/>
        <v>9.6999999999999993</v>
      </c>
      <c r="F5" s="3">
        <v>10.5</v>
      </c>
      <c r="G5" s="7">
        <v>29.2</v>
      </c>
      <c r="I5" s="3">
        <v>9.6</v>
      </c>
      <c r="J5" s="7">
        <v>28</v>
      </c>
    </row>
    <row r="6" spans="1:10" x14ac:dyDescent="0.35">
      <c r="A6" s="1" t="s">
        <v>8</v>
      </c>
      <c r="B6" s="3">
        <v>10.5</v>
      </c>
      <c r="C6" s="3">
        <v>9.6</v>
      </c>
      <c r="D6" s="4">
        <f t="shared" si="0"/>
        <v>10.050000000000001</v>
      </c>
      <c r="F6" s="3">
        <v>10.7</v>
      </c>
      <c r="G6" s="7">
        <v>29.8</v>
      </c>
      <c r="I6" s="3">
        <v>9.9</v>
      </c>
      <c r="J6" s="7">
        <v>28.5</v>
      </c>
    </row>
    <row r="7" spans="1:10" x14ac:dyDescent="0.35">
      <c r="A7" s="1" t="s">
        <v>9</v>
      </c>
      <c r="B7" s="3">
        <v>10.7</v>
      </c>
      <c r="C7" s="3">
        <v>9.9</v>
      </c>
      <c r="D7" s="4">
        <f t="shared" si="0"/>
        <v>10.3</v>
      </c>
      <c r="F7" s="3">
        <v>11</v>
      </c>
      <c r="G7" s="7">
        <v>27.8</v>
      </c>
      <c r="I7" s="3">
        <v>10.8</v>
      </c>
      <c r="J7" s="7">
        <v>28</v>
      </c>
    </row>
    <row r="8" spans="1:10" x14ac:dyDescent="0.35">
      <c r="A8" s="1" t="s">
        <v>10</v>
      </c>
      <c r="B8" s="3">
        <v>11</v>
      </c>
      <c r="C8" s="3">
        <v>10.8</v>
      </c>
      <c r="D8" s="4">
        <f t="shared" si="0"/>
        <v>10.9</v>
      </c>
      <c r="F8" s="3">
        <v>11.6</v>
      </c>
      <c r="G8" s="7">
        <v>32.5</v>
      </c>
      <c r="I8" s="3">
        <v>11.1</v>
      </c>
      <c r="J8" s="7">
        <v>27.6</v>
      </c>
    </row>
    <row r="9" spans="1:10" x14ac:dyDescent="0.35">
      <c r="A9" s="1" t="s">
        <v>11</v>
      </c>
      <c r="B9" s="3">
        <v>11.6</v>
      </c>
      <c r="C9" s="3">
        <v>11.1</v>
      </c>
      <c r="D9" s="4">
        <f t="shared" si="0"/>
        <v>11.35</v>
      </c>
      <c r="F9" s="3">
        <v>12.5</v>
      </c>
      <c r="G9" s="7">
        <v>29.5</v>
      </c>
      <c r="I9" s="3">
        <v>11.9</v>
      </c>
      <c r="J9" s="7">
        <v>27.7</v>
      </c>
    </row>
    <row r="10" spans="1:10" x14ac:dyDescent="0.35">
      <c r="A10" s="1" t="s">
        <v>12</v>
      </c>
      <c r="B10" s="3">
        <v>12.5</v>
      </c>
      <c r="C10" s="3">
        <v>11.9</v>
      </c>
      <c r="D10" s="4">
        <f t="shared" si="0"/>
        <v>12.2</v>
      </c>
      <c r="F10" s="3">
        <v>11.5</v>
      </c>
      <c r="G10" s="7">
        <v>29.3</v>
      </c>
      <c r="I10" s="3">
        <v>11.1</v>
      </c>
      <c r="J10" s="7">
        <v>27.5</v>
      </c>
    </row>
    <row r="11" spans="1:10" x14ac:dyDescent="0.35">
      <c r="A11" s="1" t="s">
        <v>13</v>
      </c>
      <c r="B11" s="3">
        <v>11.5</v>
      </c>
      <c r="C11" s="3">
        <v>11.1</v>
      </c>
      <c r="D11" s="4">
        <f t="shared" si="0"/>
        <v>11.3</v>
      </c>
      <c r="F11" s="3">
        <v>10.7</v>
      </c>
      <c r="G11" s="7">
        <v>29.1</v>
      </c>
      <c r="I11" s="3">
        <v>10.3</v>
      </c>
      <c r="J11" s="7">
        <v>28.1</v>
      </c>
    </row>
    <row r="12" spans="1:10" x14ac:dyDescent="0.35">
      <c r="A12" s="1" t="s">
        <v>14</v>
      </c>
      <c r="B12" s="3">
        <v>10.7</v>
      </c>
      <c r="C12" s="3">
        <v>10.3</v>
      </c>
      <c r="D12" s="4">
        <f t="shared" si="0"/>
        <v>10.5</v>
      </c>
      <c r="F12" s="3">
        <v>9.1</v>
      </c>
      <c r="G12" s="7">
        <v>28.4</v>
      </c>
      <c r="I12" s="3">
        <v>8.8000000000000007</v>
      </c>
      <c r="J12" s="7">
        <v>28.3</v>
      </c>
    </row>
    <row r="13" spans="1:10" x14ac:dyDescent="0.35">
      <c r="A13" s="1" t="s">
        <v>15</v>
      </c>
      <c r="B13" s="3">
        <v>9.1</v>
      </c>
      <c r="C13" s="3">
        <v>8.8000000000000007</v>
      </c>
      <c r="D13" s="4">
        <f t="shared" si="0"/>
        <v>8.9499999999999993</v>
      </c>
      <c r="F13" s="3">
        <v>7.2</v>
      </c>
      <c r="G13" s="7">
        <v>28.4</v>
      </c>
      <c r="I13" s="3">
        <v>6.9</v>
      </c>
      <c r="J13" s="7">
        <v>28.5</v>
      </c>
    </row>
    <row r="14" spans="1:10" x14ac:dyDescent="0.35">
      <c r="A14" s="1" t="s">
        <v>16</v>
      </c>
      <c r="B14" s="3">
        <v>7.2</v>
      </c>
      <c r="C14" s="3">
        <v>6.9</v>
      </c>
      <c r="D14" s="4">
        <f t="shared" si="0"/>
        <v>7.0500000000000007</v>
      </c>
      <c r="F14" s="3">
        <v>5.5</v>
      </c>
      <c r="G14" s="7">
        <v>32.6</v>
      </c>
      <c r="I14" s="3">
        <v>5.2</v>
      </c>
      <c r="J14" s="7">
        <v>28.3</v>
      </c>
    </row>
    <row r="15" spans="1:10" x14ac:dyDescent="0.35">
      <c r="A15" s="1" t="s">
        <v>17</v>
      </c>
      <c r="B15" s="3">
        <v>5.5</v>
      </c>
      <c r="C15" s="3">
        <v>5.2</v>
      </c>
      <c r="D15" s="4">
        <f t="shared" si="0"/>
        <v>5.35</v>
      </c>
      <c r="F15" s="3">
        <v>3.1</v>
      </c>
      <c r="G15" s="7">
        <v>30</v>
      </c>
      <c r="I15" s="3">
        <v>2.8</v>
      </c>
      <c r="J15" s="7">
        <v>27.7</v>
      </c>
    </row>
    <row r="16" spans="1:10" x14ac:dyDescent="0.35">
      <c r="A16" s="1" t="s">
        <v>18</v>
      </c>
      <c r="B16" s="3">
        <v>3.1</v>
      </c>
      <c r="C16" s="3">
        <v>2.8</v>
      </c>
      <c r="D16" s="4">
        <f t="shared" si="0"/>
        <v>2.95</v>
      </c>
      <c r="F16" s="3">
        <v>1.9</v>
      </c>
      <c r="G16" s="7">
        <v>30.1</v>
      </c>
      <c r="I16" s="3">
        <v>1.5</v>
      </c>
      <c r="J16" s="7">
        <v>27.7</v>
      </c>
    </row>
    <row r="17" spans="1:10" x14ac:dyDescent="0.35">
      <c r="A17" s="1" t="s">
        <v>19</v>
      </c>
      <c r="B17" s="3">
        <v>1.9</v>
      </c>
      <c r="C17" s="3">
        <v>1.5</v>
      </c>
      <c r="D17" s="4">
        <f t="shared" si="0"/>
        <v>1.7</v>
      </c>
      <c r="F17" s="3">
        <v>0.9</v>
      </c>
      <c r="G17" s="7">
        <v>28.3</v>
      </c>
      <c r="I17" s="3">
        <v>0.7</v>
      </c>
      <c r="J17" s="7">
        <v>28.1</v>
      </c>
    </row>
    <row r="18" spans="1:10" x14ac:dyDescent="0.35">
      <c r="A18" s="1" t="s">
        <v>20</v>
      </c>
      <c r="B18" s="3">
        <v>0.9</v>
      </c>
      <c r="C18" s="3">
        <v>0.7</v>
      </c>
      <c r="D18" s="4">
        <f t="shared" si="0"/>
        <v>0.8</v>
      </c>
      <c r="F18" s="3">
        <v>0.7</v>
      </c>
      <c r="G18" s="7">
        <v>28.6</v>
      </c>
      <c r="I18" s="3">
        <v>0.5</v>
      </c>
      <c r="J18" s="7">
        <v>28</v>
      </c>
    </row>
    <row r="19" spans="1:10" x14ac:dyDescent="0.35">
      <c r="A19" s="1" t="s">
        <v>21</v>
      </c>
      <c r="B19" s="3">
        <v>0.7</v>
      </c>
      <c r="C19" s="3">
        <v>0.5</v>
      </c>
      <c r="D19" s="4">
        <f t="shared" si="0"/>
        <v>0.6</v>
      </c>
      <c r="F19" s="3">
        <v>1.6</v>
      </c>
      <c r="G19" s="7">
        <v>28</v>
      </c>
      <c r="I19" s="3">
        <v>1.4</v>
      </c>
      <c r="J19" s="7">
        <v>28.2</v>
      </c>
    </row>
    <row r="20" spans="1:10" x14ac:dyDescent="0.35">
      <c r="A20" s="1" t="s">
        <v>22</v>
      </c>
      <c r="B20" s="3">
        <v>1.6</v>
      </c>
      <c r="C20" s="3">
        <v>1.4</v>
      </c>
      <c r="D20" s="4">
        <f t="shared" si="0"/>
        <v>1.5</v>
      </c>
    </row>
    <row r="21" spans="1:10" x14ac:dyDescent="0.35">
      <c r="A21" s="1" t="s">
        <v>23</v>
      </c>
      <c r="B21" s="3">
        <v>3.2</v>
      </c>
      <c r="C21" s="3">
        <v>2.6</v>
      </c>
      <c r="D21" s="4">
        <f t="shared" si="0"/>
        <v>2.9000000000000004</v>
      </c>
    </row>
    <row r="22" spans="1:10" x14ac:dyDescent="0.35">
      <c r="A22" s="1" t="s">
        <v>24</v>
      </c>
      <c r="B22" s="3">
        <v>3.8</v>
      </c>
      <c r="C22" s="3">
        <v>3.5</v>
      </c>
      <c r="D22" s="4">
        <f t="shared" si="0"/>
        <v>3.65</v>
      </c>
    </row>
    <row r="23" spans="1:10" x14ac:dyDescent="0.35">
      <c r="A23" s="1" t="s">
        <v>25</v>
      </c>
      <c r="B23" s="3">
        <v>5.6</v>
      </c>
      <c r="C23" s="3">
        <v>5.0999999999999996</v>
      </c>
      <c r="D23" s="4">
        <f t="shared" si="0"/>
        <v>5.35</v>
      </c>
    </row>
    <row r="24" spans="1:10" x14ac:dyDescent="0.35">
      <c r="A24" s="1" t="s">
        <v>26</v>
      </c>
      <c r="B24" s="3">
        <v>6.8</v>
      </c>
      <c r="C24" s="3">
        <v>6.6</v>
      </c>
      <c r="D24" s="4">
        <f t="shared" si="0"/>
        <v>6.6999999999999993</v>
      </c>
    </row>
    <row r="25" spans="1:10" x14ac:dyDescent="0.35">
      <c r="A25" s="1" t="s">
        <v>27</v>
      </c>
      <c r="B25" s="3">
        <v>7.3</v>
      </c>
      <c r="C25" s="3">
        <v>7.1</v>
      </c>
      <c r="D25" s="4">
        <f t="shared" si="0"/>
        <v>7.1999999999999993</v>
      </c>
    </row>
    <row r="26" spans="1:10" x14ac:dyDescent="0.35">
      <c r="A26" s="1" t="s">
        <v>28</v>
      </c>
      <c r="B26" s="3">
        <v>8.6</v>
      </c>
      <c r="C26" s="3">
        <v>8.3000000000000007</v>
      </c>
      <c r="D26" s="4">
        <f t="shared" si="0"/>
        <v>8.4499999999999993</v>
      </c>
    </row>
    <row r="27" spans="1:10" x14ac:dyDescent="0.35">
      <c r="A27" s="1" t="s">
        <v>29</v>
      </c>
      <c r="B27" s="3">
        <v>9.8000000000000007</v>
      </c>
      <c r="C27" s="3">
        <v>9.5</v>
      </c>
      <c r="D27" s="4">
        <f t="shared" si="0"/>
        <v>9.65</v>
      </c>
    </row>
    <row r="28" spans="1:10" x14ac:dyDescent="0.35">
      <c r="A28" s="1" t="s">
        <v>6</v>
      </c>
      <c r="B28" s="3">
        <v>10</v>
      </c>
      <c r="C28" s="3">
        <v>9.8000000000000007</v>
      </c>
      <c r="D28" s="4">
        <f t="shared" si="0"/>
        <v>9.9</v>
      </c>
    </row>
    <row r="29" spans="1:10" x14ac:dyDescent="0.35">
      <c r="A29" s="1" t="s">
        <v>7</v>
      </c>
      <c r="B29" s="3">
        <v>10.4</v>
      </c>
      <c r="C29" s="3">
        <v>10.1</v>
      </c>
      <c r="D29" s="4">
        <f t="shared" si="0"/>
        <v>10.25</v>
      </c>
    </row>
    <row r="30" spans="1:10" x14ac:dyDescent="0.35">
      <c r="A30" s="1" t="s">
        <v>8</v>
      </c>
      <c r="B30" s="3">
        <v>10.7</v>
      </c>
      <c r="C30" s="3">
        <v>10.5</v>
      </c>
      <c r="D30" s="4">
        <f t="shared" si="0"/>
        <v>10.6</v>
      </c>
    </row>
    <row r="31" spans="1:10" x14ac:dyDescent="0.35">
      <c r="A31" s="1" t="s">
        <v>9</v>
      </c>
      <c r="B31" s="3">
        <v>11.1</v>
      </c>
      <c r="C31" s="3">
        <v>10.9</v>
      </c>
      <c r="D31" s="4">
        <f t="shared" si="0"/>
        <v>11</v>
      </c>
    </row>
    <row r="32" spans="1:10" x14ac:dyDescent="0.35">
      <c r="A32" s="1" t="s">
        <v>10</v>
      </c>
      <c r="B32" s="3">
        <v>11.8</v>
      </c>
      <c r="C32" s="3">
        <v>11.3</v>
      </c>
      <c r="D32" s="4">
        <f t="shared" si="0"/>
        <v>11.55</v>
      </c>
    </row>
    <row r="33" spans="1:4" x14ac:dyDescent="0.35">
      <c r="A33" s="1" t="s">
        <v>11</v>
      </c>
      <c r="B33" s="3">
        <v>12.1</v>
      </c>
      <c r="C33" s="3">
        <v>11.7</v>
      </c>
      <c r="D33" s="4">
        <f t="shared" si="0"/>
        <v>11.899999999999999</v>
      </c>
    </row>
    <row r="34" spans="1:4" x14ac:dyDescent="0.35">
      <c r="A34" s="1" t="s">
        <v>12</v>
      </c>
      <c r="B34" s="3">
        <v>11.4</v>
      </c>
      <c r="C34" s="3">
        <v>10.6</v>
      </c>
      <c r="D34" s="4">
        <f t="shared" si="0"/>
        <v>11</v>
      </c>
    </row>
    <row r="35" spans="1:4" x14ac:dyDescent="0.35">
      <c r="A35" s="1" t="s">
        <v>13</v>
      </c>
      <c r="B35" s="3">
        <v>10.9</v>
      </c>
      <c r="C35" s="3">
        <v>10.6</v>
      </c>
      <c r="D35" s="4">
        <f t="shared" si="0"/>
        <v>10.75</v>
      </c>
    </row>
    <row r="36" spans="1:4" x14ac:dyDescent="0.35">
      <c r="A36" s="1" t="s">
        <v>14</v>
      </c>
      <c r="B36" s="3">
        <v>10.5</v>
      </c>
      <c r="C36" s="3">
        <v>10.3</v>
      </c>
      <c r="D36" s="4">
        <f t="shared" si="0"/>
        <v>10.4</v>
      </c>
    </row>
    <row r="37" spans="1:4" x14ac:dyDescent="0.35">
      <c r="A37" s="1" t="s">
        <v>15</v>
      </c>
      <c r="B37" s="3">
        <v>9.9</v>
      </c>
      <c r="C37" s="3">
        <v>9.6999999999999993</v>
      </c>
      <c r="D37" s="4">
        <f t="shared" si="0"/>
        <v>9.8000000000000007</v>
      </c>
    </row>
    <row r="38" spans="1:4" x14ac:dyDescent="0.35">
      <c r="A38" s="1" t="s">
        <v>16</v>
      </c>
      <c r="B38" s="3">
        <v>8.5</v>
      </c>
      <c r="C38" s="3">
        <v>8.3000000000000007</v>
      </c>
      <c r="D38" s="4">
        <f t="shared" si="0"/>
        <v>8.4</v>
      </c>
    </row>
    <row r="39" spans="1:4" x14ac:dyDescent="0.35">
      <c r="A39" s="1" t="s">
        <v>17</v>
      </c>
      <c r="B39" s="3">
        <v>6.1</v>
      </c>
      <c r="C39" s="3">
        <v>5.9</v>
      </c>
      <c r="D39" s="4">
        <f t="shared" si="0"/>
        <v>6</v>
      </c>
    </row>
    <row r="40" spans="1:4" x14ac:dyDescent="0.35">
      <c r="A40" s="1" t="s">
        <v>18</v>
      </c>
      <c r="B40" s="3">
        <v>3.5</v>
      </c>
      <c r="C40" s="3">
        <v>3.3</v>
      </c>
      <c r="D40" s="4">
        <f t="shared" si="0"/>
        <v>3.4</v>
      </c>
    </row>
    <row r="41" spans="1:4" x14ac:dyDescent="0.35">
      <c r="A41" s="1" t="s">
        <v>19</v>
      </c>
      <c r="B41" s="3">
        <v>2.4</v>
      </c>
      <c r="C41" s="3">
        <v>1.8</v>
      </c>
      <c r="D41" s="4">
        <f t="shared" si="0"/>
        <v>2.1</v>
      </c>
    </row>
    <row r="42" spans="1:4" x14ac:dyDescent="0.35">
      <c r="B42" s="5" t="s">
        <v>30</v>
      </c>
      <c r="D42" s="2">
        <f>SUM(D3:D41)</f>
        <v>304.69999999999993</v>
      </c>
    </row>
    <row r="43" spans="1:4" x14ac:dyDescent="0.35">
      <c r="B43" s="5" t="s">
        <v>31</v>
      </c>
      <c r="D43" s="2">
        <f>AVERAGE(D3:D41)</f>
        <v>7.8128205128205108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B782D-34FC-4CA5-8881-084FF2DB9A41}">
  <dimension ref="A1:X23"/>
  <sheetViews>
    <sheetView tabSelected="1" workbookViewId="0">
      <selection activeCell="C4" sqref="C4"/>
    </sheetView>
  </sheetViews>
  <sheetFormatPr defaultRowHeight="14.5" x14ac:dyDescent="0.35"/>
  <cols>
    <col min="9" max="9" width="10.453125" customWidth="1"/>
  </cols>
  <sheetData>
    <row r="1" spans="1:24" x14ac:dyDescent="0.35">
      <c r="A1" s="6" t="s">
        <v>32</v>
      </c>
      <c r="F1" s="6" t="s">
        <v>56</v>
      </c>
      <c r="I1" s="6" t="s">
        <v>58</v>
      </c>
    </row>
    <row r="2" spans="1:24" x14ac:dyDescent="0.35">
      <c r="L2" s="22" t="s">
        <v>32</v>
      </c>
      <c r="M2" s="22" t="s">
        <v>56</v>
      </c>
      <c r="N2" s="22" t="s">
        <v>58</v>
      </c>
      <c r="P2" s="22"/>
      <c r="Q2" s="22" t="s">
        <v>32</v>
      </c>
      <c r="R2" s="22" t="s">
        <v>56</v>
      </c>
      <c r="S2" s="22" t="s">
        <v>58</v>
      </c>
      <c r="U2" s="22" t="s">
        <v>63</v>
      </c>
      <c r="V2" s="22" t="s">
        <v>66</v>
      </c>
      <c r="W2" s="22" t="s">
        <v>63</v>
      </c>
      <c r="X2" s="22" t="s">
        <v>66</v>
      </c>
    </row>
    <row r="3" spans="1:24" x14ac:dyDescent="0.35">
      <c r="A3" s="1" t="s">
        <v>33</v>
      </c>
      <c r="B3" s="1" t="s">
        <v>34</v>
      </c>
      <c r="C3" s="1" t="s">
        <v>35</v>
      </c>
      <c r="E3" s="1" t="s">
        <v>33</v>
      </c>
      <c r="F3" s="1" t="s">
        <v>34</v>
      </c>
      <c r="G3" s="1" t="s">
        <v>35</v>
      </c>
      <c r="H3" s="1" t="s">
        <v>34</v>
      </c>
      <c r="I3" s="1" t="s">
        <v>35</v>
      </c>
      <c r="K3" s="7" t="s">
        <v>36</v>
      </c>
      <c r="L3" s="7">
        <v>33</v>
      </c>
      <c r="M3" s="7">
        <v>33.6</v>
      </c>
      <c r="N3" s="7">
        <v>4.6100000000000003</v>
      </c>
      <c r="P3" s="7" t="s">
        <v>36</v>
      </c>
      <c r="Q3" s="13">
        <v>27.4</v>
      </c>
      <c r="R3" s="13">
        <v>32</v>
      </c>
      <c r="S3" s="13">
        <v>4.6100000000000003</v>
      </c>
      <c r="U3" s="7">
        <v>33</v>
      </c>
      <c r="V3" s="7">
        <v>4.6100000000000003</v>
      </c>
      <c r="W3" s="13">
        <v>27.4</v>
      </c>
      <c r="X3" s="13">
        <v>4.6100000000000003</v>
      </c>
    </row>
    <row r="4" spans="1:24" x14ac:dyDescent="0.35">
      <c r="A4" s="7" t="s">
        <v>36</v>
      </c>
      <c r="B4" s="7">
        <v>33</v>
      </c>
      <c r="C4" s="7">
        <v>27.4</v>
      </c>
      <c r="E4" s="7" t="s">
        <v>36</v>
      </c>
      <c r="F4" s="1">
        <v>33.6</v>
      </c>
      <c r="G4" s="1">
        <v>32</v>
      </c>
      <c r="H4" s="1">
        <v>6.19</v>
      </c>
      <c r="I4" s="1">
        <v>4.6100000000000003</v>
      </c>
      <c r="K4" s="7" t="s">
        <v>42</v>
      </c>
      <c r="L4" s="7">
        <v>32.5</v>
      </c>
      <c r="M4" s="7">
        <v>34.200000000000003</v>
      </c>
      <c r="N4" s="7">
        <v>5.7</v>
      </c>
      <c r="P4" s="7" t="s">
        <v>42</v>
      </c>
      <c r="Q4" s="13">
        <v>27.6</v>
      </c>
      <c r="R4" s="13">
        <v>33.1</v>
      </c>
      <c r="S4" s="13">
        <v>5.7</v>
      </c>
      <c r="U4" s="7">
        <v>32.5</v>
      </c>
      <c r="V4" s="7">
        <v>5.7</v>
      </c>
      <c r="W4" s="13">
        <v>27.6</v>
      </c>
      <c r="X4" s="13">
        <v>5.7</v>
      </c>
    </row>
    <row r="5" spans="1:24" x14ac:dyDescent="0.35">
      <c r="A5" s="7" t="s">
        <v>37</v>
      </c>
      <c r="B5" s="7">
        <v>30.2</v>
      </c>
      <c r="C5" s="7">
        <v>28</v>
      </c>
      <c r="E5" s="7" t="s">
        <v>37</v>
      </c>
      <c r="F5" s="1">
        <v>36</v>
      </c>
      <c r="G5" s="1">
        <v>32</v>
      </c>
      <c r="H5" s="1">
        <v>4.59</v>
      </c>
      <c r="I5" s="1">
        <v>4.87</v>
      </c>
      <c r="K5" s="7" t="s">
        <v>48</v>
      </c>
      <c r="L5" s="7">
        <v>32.6</v>
      </c>
      <c r="M5" s="7">
        <v>34.799999999999997</v>
      </c>
      <c r="N5" s="7">
        <v>4.54</v>
      </c>
      <c r="P5" s="7" t="s">
        <v>48</v>
      </c>
      <c r="Q5" s="13">
        <v>28.3</v>
      </c>
      <c r="R5" s="13">
        <v>33.1</v>
      </c>
      <c r="S5" s="13">
        <v>4.54</v>
      </c>
      <c r="U5" s="7">
        <v>32.6</v>
      </c>
      <c r="V5" s="7">
        <v>4.54</v>
      </c>
      <c r="W5" s="13">
        <v>28.3</v>
      </c>
      <c r="X5" s="13">
        <v>4.54</v>
      </c>
    </row>
    <row r="6" spans="1:24" x14ac:dyDescent="0.35">
      <c r="A6" s="7" t="s">
        <v>38</v>
      </c>
      <c r="B6" s="7">
        <v>30.5</v>
      </c>
      <c r="C6" s="7">
        <v>27.8</v>
      </c>
      <c r="E6" s="7" t="s">
        <v>38</v>
      </c>
      <c r="F6" s="1">
        <v>36</v>
      </c>
      <c r="G6" s="1">
        <v>33.6</v>
      </c>
      <c r="H6" s="1">
        <v>5.61</v>
      </c>
      <c r="I6" s="1">
        <v>5.19</v>
      </c>
      <c r="K6" s="7" t="s">
        <v>37</v>
      </c>
      <c r="L6" s="7">
        <v>30.2</v>
      </c>
      <c r="M6" s="7">
        <v>36</v>
      </c>
      <c r="N6" s="7">
        <v>4.59</v>
      </c>
      <c r="P6" s="7" t="s">
        <v>37</v>
      </c>
      <c r="Q6" s="13">
        <v>28</v>
      </c>
      <c r="R6" s="13">
        <v>32</v>
      </c>
      <c r="S6" s="13">
        <v>4.87</v>
      </c>
      <c r="U6" s="7">
        <v>30.2</v>
      </c>
      <c r="V6" s="7">
        <v>4.59</v>
      </c>
      <c r="W6" s="13">
        <v>28</v>
      </c>
      <c r="X6" s="13">
        <v>4.87</v>
      </c>
    </row>
    <row r="7" spans="1:24" x14ac:dyDescent="0.35">
      <c r="A7" s="7" t="s">
        <v>39</v>
      </c>
      <c r="B7" s="7">
        <v>29.2</v>
      </c>
      <c r="C7" s="7">
        <v>28</v>
      </c>
      <c r="E7" s="7" t="s">
        <v>39</v>
      </c>
      <c r="F7" s="1">
        <v>34.200000000000003</v>
      </c>
      <c r="G7" s="1">
        <v>34.799999999999997</v>
      </c>
      <c r="H7" s="1">
        <v>4.87</v>
      </c>
      <c r="I7" s="1">
        <v>5.59</v>
      </c>
      <c r="K7" s="7" t="s">
        <v>43</v>
      </c>
      <c r="L7" s="7">
        <v>29.5</v>
      </c>
      <c r="M7" s="7">
        <v>32.5</v>
      </c>
      <c r="N7" s="7">
        <v>5.31</v>
      </c>
      <c r="P7" s="7" t="s">
        <v>43</v>
      </c>
      <c r="Q7" s="13">
        <v>27.7</v>
      </c>
      <c r="R7" s="13">
        <v>30.3</v>
      </c>
      <c r="S7" s="13">
        <v>4.53</v>
      </c>
      <c r="U7" s="7">
        <v>29.5</v>
      </c>
      <c r="V7" s="7">
        <v>5.31</v>
      </c>
      <c r="W7" s="13">
        <v>27.7</v>
      </c>
      <c r="X7" s="13">
        <v>4.53</v>
      </c>
    </row>
    <row r="8" spans="1:24" x14ac:dyDescent="0.35">
      <c r="A8" s="7" t="s">
        <v>40</v>
      </c>
      <c r="B8" s="7">
        <v>29.8</v>
      </c>
      <c r="C8" s="7">
        <v>28.5</v>
      </c>
      <c r="E8" s="7" t="s">
        <v>40</v>
      </c>
      <c r="F8" s="1">
        <v>33.6</v>
      </c>
      <c r="G8" s="1">
        <v>33.6</v>
      </c>
      <c r="H8" s="1">
        <v>4.47</v>
      </c>
      <c r="I8" s="1">
        <v>5.38</v>
      </c>
      <c r="K8" s="7" t="s">
        <v>49</v>
      </c>
      <c r="L8" s="7">
        <v>30</v>
      </c>
      <c r="M8" s="7">
        <v>33.5</v>
      </c>
      <c r="N8" s="7">
        <v>4.76</v>
      </c>
      <c r="P8" s="7" t="s">
        <v>49</v>
      </c>
      <c r="Q8" s="13">
        <v>27.7</v>
      </c>
      <c r="R8" s="13">
        <v>32.5</v>
      </c>
      <c r="S8" s="13">
        <v>4.8</v>
      </c>
      <c r="U8" s="7">
        <v>30</v>
      </c>
      <c r="V8" s="7">
        <v>4.76</v>
      </c>
      <c r="W8" s="13">
        <v>27.7</v>
      </c>
      <c r="X8" s="13">
        <v>4.8</v>
      </c>
    </row>
    <row r="9" spans="1:24" x14ac:dyDescent="0.35">
      <c r="A9" s="7" t="s">
        <v>41</v>
      </c>
      <c r="B9" s="7">
        <v>27.8</v>
      </c>
      <c r="C9" s="7">
        <v>28</v>
      </c>
      <c r="E9" s="7" t="s">
        <v>41</v>
      </c>
      <c r="F9" s="1">
        <v>34.299999999999997</v>
      </c>
      <c r="G9" s="1">
        <v>33.1</v>
      </c>
      <c r="H9" s="1">
        <v>2.92</v>
      </c>
      <c r="I9" s="1">
        <v>5.25</v>
      </c>
      <c r="K9" s="7" t="s">
        <v>38</v>
      </c>
      <c r="L9" s="7">
        <v>30.5</v>
      </c>
      <c r="M9" s="7">
        <v>36</v>
      </c>
      <c r="N9" s="7">
        <v>5.61</v>
      </c>
      <c r="P9" s="7" t="s">
        <v>38</v>
      </c>
      <c r="Q9" s="13">
        <v>27.8</v>
      </c>
      <c r="R9" s="13">
        <v>33.6</v>
      </c>
      <c r="S9" s="13">
        <v>5.19</v>
      </c>
      <c r="U9" s="7">
        <v>30.5</v>
      </c>
      <c r="V9" s="7">
        <v>5.61</v>
      </c>
      <c r="W9" s="13">
        <v>27.8</v>
      </c>
      <c r="X9" s="13">
        <v>5.19</v>
      </c>
    </row>
    <row r="10" spans="1:24" x14ac:dyDescent="0.35">
      <c r="A10" s="7" t="s">
        <v>42</v>
      </c>
      <c r="B10" s="7">
        <v>32.5</v>
      </c>
      <c r="C10" s="7">
        <v>27.6</v>
      </c>
      <c r="E10" s="7" t="s">
        <v>42</v>
      </c>
      <c r="F10" s="1">
        <v>34.200000000000003</v>
      </c>
      <c r="G10" s="1">
        <v>33.1</v>
      </c>
      <c r="H10" s="1">
        <v>4.67</v>
      </c>
      <c r="I10" s="1">
        <v>5.7</v>
      </c>
      <c r="K10" s="7" t="s">
        <v>44</v>
      </c>
      <c r="L10" s="7">
        <v>29.3</v>
      </c>
      <c r="M10" s="7">
        <v>33.6</v>
      </c>
      <c r="N10" s="7">
        <v>5.71</v>
      </c>
      <c r="P10" s="7" t="s">
        <v>44</v>
      </c>
      <c r="Q10" s="13">
        <v>27.5</v>
      </c>
      <c r="R10" s="13">
        <v>32.5</v>
      </c>
      <c r="S10" s="13">
        <v>4.8</v>
      </c>
      <c r="U10" s="7">
        <v>29.3</v>
      </c>
      <c r="V10" s="7">
        <v>5.71</v>
      </c>
      <c r="W10" s="13">
        <v>27.5</v>
      </c>
      <c r="X10" s="13">
        <v>4.8</v>
      </c>
    </row>
    <row r="11" spans="1:24" x14ac:dyDescent="0.35">
      <c r="A11" s="7" t="s">
        <v>43</v>
      </c>
      <c r="B11" s="7">
        <v>29.5</v>
      </c>
      <c r="C11" s="7">
        <v>27.7</v>
      </c>
      <c r="E11" s="7" t="s">
        <v>43</v>
      </c>
      <c r="F11" s="1">
        <v>32.5</v>
      </c>
      <c r="G11" s="1">
        <v>30.3</v>
      </c>
      <c r="H11" s="1">
        <v>5.31</v>
      </c>
      <c r="I11" s="1">
        <v>4.53</v>
      </c>
      <c r="K11" s="7" t="s">
        <v>50</v>
      </c>
      <c r="L11" s="7">
        <v>30.1</v>
      </c>
      <c r="M11" s="7">
        <v>34.200000000000003</v>
      </c>
      <c r="N11" s="7">
        <v>5.67</v>
      </c>
      <c r="P11" s="7" t="s">
        <v>50</v>
      </c>
      <c r="Q11" s="13">
        <v>27.7</v>
      </c>
      <c r="R11" s="13">
        <v>32.5</v>
      </c>
      <c r="S11" s="13">
        <v>4.32</v>
      </c>
      <c r="U11" s="7">
        <v>30.1</v>
      </c>
      <c r="V11" s="7">
        <v>5.67</v>
      </c>
      <c r="W11" s="13">
        <v>27.7</v>
      </c>
      <c r="X11" s="13">
        <v>4.32</v>
      </c>
    </row>
    <row r="12" spans="1:24" x14ac:dyDescent="0.35">
      <c r="A12" s="7" t="s">
        <v>44</v>
      </c>
      <c r="B12" s="7">
        <v>29.3</v>
      </c>
      <c r="C12" s="7">
        <v>27.5</v>
      </c>
      <c r="E12" s="7" t="s">
        <v>44</v>
      </c>
      <c r="F12" s="1">
        <v>33.6</v>
      </c>
      <c r="G12" s="1">
        <v>32.5</v>
      </c>
      <c r="H12" s="1">
        <v>5.71</v>
      </c>
      <c r="I12" s="1">
        <v>4.8</v>
      </c>
      <c r="K12" s="7" t="s">
        <v>39</v>
      </c>
      <c r="L12" s="7">
        <v>29.2</v>
      </c>
      <c r="M12" s="7">
        <v>34.200000000000003</v>
      </c>
      <c r="N12" s="7">
        <v>4.87</v>
      </c>
      <c r="P12" s="7" t="s">
        <v>39</v>
      </c>
      <c r="Q12" s="13">
        <v>28</v>
      </c>
      <c r="R12" s="13">
        <v>34.799999999999997</v>
      </c>
      <c r="S12" s="13">
        <v>5.59</v>
      </c>
      <c r="U12" s="7">
        <v>29.2</v>
      </c>
      <c r="V12" s="7">
        <v>4.87</v>
      </c>
      <c r="W12" s="13">
        <v>28</v>
      </c>
      <c r="X12" s="13">
        <v>5.59</v>
      </c>
    </row>
    <row r="13" spans="1:24" x14ac:dyDescent="0.35">
      <c r="A13" s="7" t="s">
        <v>45</v>
      </c>
      <c r="B13" s="7">
        <v>29.1</v>
      </c>
      <c r="C13" s="7">
        <v>28.1</v>
      </c>
      <c r="E13" s="7" t="s">
        <v>45</v>
      </c>
      <c r="F13" s="1">
        <v>34.799999999999997</v>
      </c>
      <c r="G13" s="1">
        <v>36</v>
      </c>
      <c r="H13" s="1">
        <v>4.8899999999999997</v>
      </c>
      <c r="I13" s="1">
        <v>4.3899999999999997</v>
      </c>
      <c r="K13" s="7" t="s">
        <v>45</v>
      </c>
      <c r="L13" s="7">
        <v>29.1</v>
      </c>
      <c r="M13" s="7">
        <v>34.799999999999997</v>
      </c>
      <c r="N13" s="7">
        <v>4.8899999999999997</v>
      </c>
      <c r="P13" s="7" t="s">
        <v>45</v>
      </c>
      <c r="Q13" s="13">
        <v>28.1</v>
      </c>
      <c r="R13" s="13">
        <v>36</v>
      </c>
      <c r="S13" s="13">
        <v>4.3899999999999997</v>
      </c>
      <c r="U13" s="7">
        <v>29.1</v>
      </c>
      <c r="V13" s="7">
        <v>4.8899999999999997</v>
      </c>
      <c r="W13" s="13">
        <v>28.1</v>
      </c>
      <c r="X13" s="13">
        <v>4.3899999999999997</v>
      </c>
    </row>
    <row r="14" spans="1:24" x14ac:dyDescent="0.35">
      <c r="A14" s="7" t="s">
        <v>46</v>
      </c>
      <c r="B14" s="7">
        <v>28.4</v>
      </c>
      <c r="C14" s="7">
        <v>28.3</v>
      </c>
      <c r="E14" s="7" t="s">
        <v>46</v>
      </c>
      <c r="F14" s="1">
        <v>34.799999999999997</v>
      </c>
      <c r="G14" s="1">
        <v>34.799999999999997</v>
      </c>
      <c r="H14" s="1">
        <v>5.34</v>
      </c>
      <c r="I14" s="1">
        <v>3.8</v>
      </c>
      <c r="K14" s="7" t="s">
        <v>51</v>
      </c>
      <c r="L14" s="7">
        <v>28.3</v>
      </c>
      <c r="M14" s="7">
        <v>33.1</v>
      </c>
      <c r="N14" s="7">
        <v>6.11</v>
      </c>
      <c r="P14" s="7" t="s">
        <v>51</v>
      </c>
      <c r="Q14" s="13">
        <v>28.1</v>
      </c>
      <c r="R14" s="13">
        <v>33.6</v>
      </c>
      <c r="S14" s="13">
        <v>4.43</v>
      </c>
      <c r="U14" s="7">
        <v>28.3</v>
      </c>
      <c r="V14" s="7">
        <v>6.11</v>
      </c>
      <c r="W14" s="13">
        <v>28.1</v>
      </c>
      <c r="X14" s="13">
        <v>4.43</v>
      </c>
    </row>
    <row r="15" spans="1:24" x14ac:dyDescent="0.35">
      <c r="A15" s="7" t="s">
        <v>47</v>
      </c>
      <c r="B15" s="7">
        <v>28.4</v>
      </c>
      <c r="C15" s="7">
        <v>28.5</v>
      </c>
      <c r="E15" s="7" t="s">
        <v>47</v>
      </c>
      <c r="F15" s="1">
        <v>34.200000000000003</v>
      </c>
      <c r="G15" s="1">
        <v>34.200000000000003</v>
      </c>
      <c r="H15" s="1">
        <v>3.76</v>
      </c>
      <c r="I15" s="1">
        <v>5.23</v>
      </c>
      <c r="K15" s="7" t="s">
        <v>40</v>
      </c>
      <c r="L15" s="7">
        <v>29.8</v>
      </c>
      <c r="M15" s="7">
        <v>33.6</v>
      </c>
      <c r="N15" s="7">
        <v>4.47</v>
      </c>
      <c r="P15" s="7" t="s">
        <v>40</v>
      </c>
      <c r="Q15" s="13">
        <v>28.5</v>
      </c>
      <c r="R15" s="13">
        <v>33.6</v>
      </c>
      <c r="S15" s="13">
        <v>5.38</v>
      </c>
      <c r="U15" s="7">
        <v>29.8</v>
      </c>
      <c r="V15" s="7">
        <v>4.47</v>
      </c>
      <c r="W15" s="13">
        <v>28.5</v>
      </c>
      <c r="X15" s="13">
        <v>5.38</v>
      </c>
    </row>
    <row r="16" spans="1:24" x14ac:dyDescent="0.35">
      <c r="A16" s="7" t="s">
        <v>48</v>
      </c>
      <c r="B16" s="7">
        <v>32.6</v>
      </c>
      <c r="C16" s="7">
        <v>28.3</v>
      </c>
      <c r="E16" s="7" t="s">
        <v>48</v>
      </c>
      <c r="F16" s="1">
        <v>34.799999999999997</v>
      </c>
      <c r="G16" s="1">
        <v>33.1</v>
      </c>
      <c r="H16" s="1">
        <v>5.52</v>
      </c>
      <c r="I16" s="1">
        <v>4.54</v>
      </c>
      <c r="K16" s="7" t="s">
        <v>46</v>
      </c>
      <c r="L16" s="7">
        <v>28.4</v>
      </c>
      <c r="M16" s="7">
        <v>54.8</v>
      </c>
      <c r="N16" s="7">
        <v>5.34</v>
      </c>
      <c r="P16" s="7" t="s">
        <v>46</v>
      </c>
      <c r="Q16" s="13">
        <v>28.3</v>
      </c>
      <c r="R16" s="13">
        <v>34.799999999999997</v>
      </c>
      <c r="S16" s="13">
        <v>3.8</v>
      </c>
      <c r="U16" s="7">
        <v>28.4</v>
      </c>
      <c r="V16" s="7">
        <v>5.34</v>
      </c>
      <c r="W16" s="13">
        <v>28.3</v>
      </c>
      <c r="X16" s="13">
        <v>3.8</v>
      </c>
    </row>
    <row r="17" spans="1:24" x14ac:dyDescent="0.35">
      <c r="A17" s="7" t="s">
        <v>49</v>
      </c>
      <c r="B17" s="7">
        <v>30</v>
      </c>
      <c r="C17" s="7">
        <v>27.7</v>
      </c>
      <c r="E17" s="7" t="s">
        <v>49</v>
      </c>
      <c r="F17" s="1">
        <v>33.5</v>
      </c>
      <c r="G17" s="1">
        <v>32.5</v>
      </c>
      <c r="H17" s="1">
        <v>4.76</v>
      </c>
      <c r="I17" s="1">
        <v>4.8</v>
      </c>
      <c r="K17" s="7" t="s">
        <v>52</v>
      </c>
      <c r="L17" s="7">
        <v>28.6</v>
      </c>
      <c r="M17" s="7">
        <v>33.6</v>
      </c>
      <c r="N17" s="7">
        <v>5.05</v>
      </c>
      <c r="P17" s="7" t="s">
        <v>52</v>
      </c>
      <c r="Q17" s="13">
        <v>28</v>
      </c>
      <c r="R17" s="13">
        <v>34.200000000000003</v>
      </c>
      <c r="S17" s="13">
        <v>5.49</v>
      </c>
      <c r="U17" s="7">
        <v>28.6</v>
      </c>
      <c r="V17" s="7">
        <v>5.05</v>
      </c>
      <c r="W17" s="13">
        <v>28</v>
      </c>
      <c r="X17" s="13">
        <v>5.49</v>
      </c>
    </row>
    <row r="18" spans="1:24" x14ac:dyDescent="0.35">
      <c r="A18" s="7" t="s">
        <v>50</v>
      </c>
      <c r="B18" s="7">
        <v>30.1</v>
      </c>
      <c r="C18" s="7">
        <v>27.7</v>
      </c>
      <c r="E18" s="7" t="s">
        <v>50</v>
      </c>
      <c r="F18" s="1">
        <v>34.200000000000003</v>
      </c>
      <c r="G18" s="1">
        <v>32.5</v>
      </c>
      <c r="H18" s="1">
        <v>5.67</v>
      </c>
      <c r="I18" s="1">
        <v>4.32</v>
      </c>
      <c r="K18" s="7" t="s">
        <v>41</v>
      </c>
      <c r="L18" s="7">
        <v>27.8</v>
      </c>
      <c r="M18" s="7">
        <v>34.299999999999997</v>
      </c>
      <c r="N18" s="7">
        <v>2.92</v>
      </c>
      <c r="P18" s="7" t="s">
        <v>41</v>
      </c>
      <c r="Q18" s="13">
        <v>28</v>
      </c>
      <c r="R18" s="13">
        <v>33.1</v>
      </c>
      <c r="S18" s="13">
        <v>5.25</v>
      </c>
      <c r="U18" s="7">
        <v>27.8</v>
      </c>
      <c r="V18" s="7">
        <v>2.92</v>
      </c>
      <c r="W18" s="13">
        <v>28</v>
      </c>
      <c r="X18" s="13">
        <v>5.25</v>
      </c>
    </row>
    <row r="19" spans="1:24" x14ac:dyDescent="0.35">
      <c r="A19" s="7" t="s">
        <v>51</v>
      </c>
      <c r="B19" s="7">
        <v>28.3</v>
      </c>
      <c r="C19" s="7">
        <v>28.1</v>
      </c>
      <c r="E19" s="7" t="s">
        <v>51</v>
      </c>
      <c r="F19" s="1">
        <v>33.1</v>
      </c>
      <c r="G19" s="1">
        <v>33.6</v>
      </c>
      <c r="H19" s="1">
        <v>6.11</v>
      </c>
      <c r="I19" s="1">
        <v>4.43</v>
      </c>
      <c r="K19" s="7" t="s">
        <v>47</v>
      </c>
      <c r="L19" s="7">
        <v>28.4</v>
      </c>
      <c r="M19" s="7">
        <v>34.200000000000003</v>
      </c>
      <c r="N19" s="7">
        <v>3.76</v>
      </c>
      <c r="P19" s="7" t="s">
        <v>47</v>
      </c>
      <c r="Q19" s="13">
        <v>28.5</v>
      </c>
      <c r="R19" s="13">
        <v>34.200000000000003</v>
      </c>
      <c r="S19" s="13">
        <v>5.23</v>
      </c>
      <c r="U19" s="7">
        <v>28.4</v>
      </c>
      <c r="V19" s="7">
        <v>3.76</v>
      </c>
      <c r="W19" s="13">
        <v>28.5</v>
      </c>
      <c r="X19" s="13">
        <v>5.23</v>
      </c>
    </row>
    <row r="20" spans="1:24" x14ac:dyDescent="0.35">
      <c r="A20" s="7" t="s">
        <v>52</v>
      </c>
      <c r="B20" s="7">
        <v>28.6</v>
      </c>
      <c r="C20" s="7">
        <v>28</v>
      </c>
      <c r="E20" s="7" t="s">
        <v>52</v>
      </c>
      <c r="F20" s="1">
        <v>33.6</v>
      </c>
      <c r="G20" s="1">
        <v>34.200000000000003</v>
      </c>
      <c r="H20" s="1">
        <v>5.05</v>
      </c>
      <c r="I20" s="1">
        <v>5.49</v>
      </c>
      <c r="K20" s="7" t="s">
        <v>53</v>
      </c>
      <c r="L20" s="7">
        <v>28</v>
      </c>
      <c r="M20" s="7">
        <v>33.1</v>
      </c>
      <c r="N20" s="7">
        <v>3.05</v>
      </c>
      <c r="P20" s="7" t="s">
        <v>53</v>
      </c>
      <c r="Q20" s="13">
        <v>28.2</v>
      </c>
      <c r="R20" s="13">
        <v>33.1</v>
      </c>
      <c r="S20" s="13">
        <v>4.87</v>
      </c>
      <c r="U20" s="7">
        <v>28</v>
      </c>
      <c r="V20" s="7">
        <v>3.05</v>
      </c>
      <c r="W20" s="13">
        <v>28.2</v>
      </c>
      <c r="X20" s="13">
        <v>4.87</v>
      </c>
    </row>
    <row r="21" spans="1:24" x14ac:dyDescent="0.35">
      <c r="A21" s="7" t="s">
        <v>53</v>
      </c>
      <c r="B21" s="7">
        <v>28</v>
      </c>
      <c r="C21" s="7">
        <v>28.2</v>
      </c>
      <c r="E21" s="7" t="s">
        <v>53</v>
      </c>
      <c r="F21" s="1">
        <v>33.1</v>
      </c>
      <c r="G21" s="1">
        <v>33.1</v>
      </c>
      <c r="H21" s="1">
        <v>3.05</v>
      </c>
      <c r="I21" s="1">
        <v>4.87</v>
      </c>
    </row>
    <row r="22" spans="1:24" x14ac:dyDescent="0.35">
      <c r="A22" s="8" t="s">
        <v>54</v>
      </c>
      <c r="B22" s="8">
        <f>AVERAGE(B4:B21)</f>
        <v>29.738888888888894</v>
      </c>
      <c r="C22" s="8">
        <f>AVERAGE(C4:C21)</f>
        <v>27.966666666666665</v>
      </c>
      <c r="E22" s="8" t="s">
        <v>54</v>
      </c>
      <c r="F22" s="8">
        <f>AVERAGE(F4:F21)</f>
        <v>34.116666666666674</v>
      </c>
      <c r="G22" s="8">
        <f>AVERAGE(G4:G21)</f>
        <v>33.277777777777779</v>
      </c>
      <c r="H22" s="8">
        <f>AVERAGE(H4:H21)</f>
        <v>4.9161111111111113</v>
      </c>
      <c r="I22" s="8">
        <f>AVERAGE(I4:I21)</f>
        <v>4.8772222222222226</v>
      </c>
    </row>
    <row r="23" spans="1:24" x14ac:dyDescent="0.35">
      <c r="A23" s="9" t="s">
        <v>55</v>
      </c>
      <c r="B23" s="10">
        <f>B22-C22</f>
        <v>1.7722222222222292</v>
      </c>
      <c r="F23" s="11" t="s">
        <v>57</v>
      </c>
      <c r="G23" s="10">
        <f>F22-G22</f>
        <v>0.83888888888889568</v>
      </c>
      <c r="H23" t="s">
        <v>57</v>
      </c>
      <c r="I23" s="10">
        <f>H22-I22</f>
        <v>3.8888888888888751E-2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8B8A-CC23-4730-B00D-F859C5568EAA}">
  <dimension ref="A1:P26"/>
  <sheetViews>
    <sheetView workbookViewId="0">
      <selection activeCell="H42" sqref="H42"/>
    </sheetView>
  </sheetViews>
  <sheetFormatPr defaultRowHeight="14.5" x14ac:dyDescent="0.35"/>
  <cols>
    <col min="2" max="2" width="10.453125" customWidth="1"/>
    <col min="3" max="3" width="10.81640625" customWidth="1"/>
    <col min="4" max="4" width="10.36328125" customWidth="1"/>
    <col min="8" max="8" width="12.1796875" customWidth="1"/>
    <col min="9" max="9" width="10.90625" customWidth="1"/>
    <col min="10" max="11" width="11.453125" customWidth="1"/>
  </cols>
  <sheetData>
    <row r="1" spans="1:16" x14ac:dyDescent="0.35">
      <c r="A1" s="25" t="s">
        <v>60</v>
      </c>
      <c r="B1" s="25"/>
      <c r="C1" s="25"/>
      <c r="D1" s="25"/>
      <c r="H1" s="25" t="s">
        <v>65</v>
      </c>
      <c r="I1" s="26"/>
      <c r="J1" s="26"/>
      <c r="K1" s="26"/>
    </row>
    <row r="2" spans="1:16" x14ac:dyDescent="0.35">
      <c r="A2" s="12" t="s">
        <v>59</v>
      </c>
      <c r="B2" s="12" t="s">
        <v>61</v>
      </c>
      <c r="C2" s="12" t="s">
        <v>62</v>
      </c>
      <c r="D2" s="12" t="s">
        <v>58</v>
      </c>
      <c r="H2" s="12" t="s">
        <v>59</v>
      </c>
      <c r="I2" s="12" t="s">
        <v>61</v>
      </c>
      <c r="J2" s="12" t="s">
        <v>62</v>
      </c>
      <c r="K2" s="12" t="s">
        <v>58</v>
      </c>
      <c r="M2" s="23" t="s">
        <v>63</v>
      </c>
      <c r="N2" s="23" t="s">
        <v>64</v>
      </c>
      <c r="O2" s="23" t="s">
        <v>63</v>
      </c>
      <c r="P2" s="23" t="s">
        <v>66</v>
      </c>
    </row>
    <row r="3" spans="1:16" x14ac:dyDescent="0.35">
      <c r="A3" s="7" t="s">
        <v>36</v>
      </c>
      <c r="B3" s="7">
        <v>33</v>
      </c>
      <c r="C3" s="7">
        <v>33.6</v>
      </c>
      <c r="D3" s="7">
        <v>4.6100000000000003</v>
      </c>
      <c r="H3" s="7" t="s">
        <v>36</v>
      </c>
      <c r="I3" s="13">
        <v>27.4</v>
      </c>
      <c r="J3" s="13">
        <v>32</v>
      </c>
      <c r="K3" s="13">
        <v>4.6100000000000003</v>
      </c>
      <c r="M3" s="20">
        <v>32.700000000000003</v>
      </c>
      <c r="N3" s="20">
        <v>34.200000000000003</v>
      </c>
      <c r="O3" s="20">
        <v>32.700000000000003</v>
      </c>
      <c r="P3" s="20">
        <v>4.95</v>
      </c>
    </row>
    <row r="4" spans="1:16" x14ac:dyDescent="0.35">
      <c r="A4" s="7" t="s">
        <v>42</v>
      </c>
      <c r="B4" s="7">
        <v>32.5</v>
      </c>
      <c r="C4" s="7">
        <v>34.200000000000003</v>
      </c>
      <c r="D4" s="7">
        <v>5.7</v>
      </c>
      <c r="H4" s="7" t="s">
        <v>42</v>
      </c>
      <c r="I4" s="13">
        <v>27.6</v>
      </c>
      <c r="J4" s="13">
        <v>33.1</v>
      </c>
      <c r="K4" s="13">
        <v>5.7</v>
      </c>
      <c r="M4" s="20">
        <v>29.9</v>
      </c>
      <c r="N4" s="20">
        <v>34</v>
      </c>
      <c r="O4" s="20">
        <v>29.9</v>
      </c>
      <c r="P4" s="20">
        <v>4.8899999999999997</v>
      </c>
    </row>
    <row r="5" spans="1:16" x14ac:dyDescent="0.35">
      <c r="A5" s="7" t="s">
        <v>48</v>
      </c>
      <c r="B5" s="7">
        <v>32.6</v>
      </c>
      <c r="C5" s="7">
        <v>34.799999999999997</v>
      </c>
      <c r="D5" s="7">
        <v>4.54</v>
      </c>
      <c r="H5" s="7" t="s">
        <v>48</v>
      </c>
      <c r="I5" s="13">
        <v>28.3</v>
      </c>
      <c r="J5" s="13">
        <v>33.1</v>
      </c>
      <c r="K5" s="13">
        <v>4.54</v>
      </c>
      <c r="M5" s="20">
        <v>30</v>
      </c>
      <c r="N5" s="20">
        <v>34.6</v>
      </c>
      <c r="O5" s="20">
        <v>30</v>
      </c>
      <c r="P5" s="20">
        <v>5.66</v>
      </c>
    </row>
    <row r="6" spans="1:16" x14ac:dyDescent="0.35">
      <c r="A6" s="14"/>
      <c r="B6" s="14">
        <f>AVERAGE(B3:B5)</f>
        <v>32.699999999999996</v>
      </c>
      <c r="C6" s="14">
        <f>AVERAGE(C3:C5)</f>
        <v>34.200000000000003</v>
      </c>
      <c r="D6" s="14">
        <f>AVERAGE(D3:D5)</f>
        <v>4.95</v>
      </c>
      <c r="H6" s="14"/>
      <c r="I6" s="16">
        <f>AVERAGE(I3:I5)</f>
        <v>27.766666666666666</v>
      </c>
      <c r="J6" s="16">
        <f>AVERAGE(J3:J5)</f>
        <v>32.733333333333327</v>
      </c>
      <c r="K6" s="14">
        <f>AVERAGE(K3:K5)</f>
        <v>4.95</v>
      </c>
      <c r="M6" s="21">
        <v>28.9</v>
      </c>
      <c r="N6" s="21">
        <v>34</v>
      </c>
      <c r="O6" s="21">
        <v>28.9</v>
      </c>
      <c r="P6" s="21">
        <v>5.29</v>
      </c>
    </row>
    <row r="7" spans="1:16" x14ac:dyDescent="0.35">
      <c r="A7" s="7" t="s">
        <v>37</v>
      </c>
      <c r="B7" s="7">
        <v>30.2</v>
      </c>
      <c r="C7" s="7">
        <v>36</v>
      </c>
      <c r="D7" s="7">
        <v>4.59</v>
      </c>
      <c r="H7" s="7" t="s">
        <v>37</v>
      </c>
      <c r="I7" s="13">
        <v>28</v>
      </c>
      <c r="J7" s="13">
        <v>32</v>
      </c>
      <c r="K7" s="13">
        <v>4.87</v>
      </c>
      <c r="M7" s="21">
        <v>28.9</v>
      </c>
      <c r="N7" s="21">
        <v>40.700000000000003</v>
      </c>
      <c r="O7" s="21">
        <v>28.9</v>
      </c>
      <c r="P7" s="21">
        <v>4.95</v>
      </c>
    </row>
    <row r="8" spans="1:16" x14ac:dyDescent="0.35">
      <c r="A8" s="7" t="s">
        <v>43</v>
      </c>
      <c r="B8" s="7">
        <v>29.5</v>
      </c>
      <c r="C8" s="7">
        <v>32.5</v>
      </c>
      <c r="D8" s="7">
        <v>5.31</v>
      </c>
      <c r="H8" s="7" t="s">
        <v>43</v>
      </c>
      <c r="I8" s="13">
        <v>27.7</v>
      </c>
      <c r="J8" s="13">
        <v>30.3</v>
      </c>
      <c r="K8" s="13">
        <v>4.53</v>
      </c>
      <c r="M8" s="21">
        <v>28.1</v>
      </c>
      <c r="N8" s="21">
        <v>33.9</v>
      </c>
      <c r="O8" s="21">
        <v>28.1</v>
      </c>
      <c r="P8" s="21">
        <v>3.42</v>
      </c>
    </row>
    <row r="9" spans="1:16" x14ac:dyDescent="0.35">
      <c r="A9" s="7" t="s">
        <v>49</v>
      </c>
      <c r="B9" s="7">
        <v>30</v>
      </c>
      <c r="C9" s="7">
        <v>33.5</v>
      </c>
      <c r="D9" s="7">
        <v>4.76</v>
      </c>
      <c r="H9" s="7" t="s">
        <v>49</v>
      </c>
      <c r="I9" s="13">
        <v>27.7</v>
      </c>
      <c r="J9" s="13">
        <v>32.5</v>
      </c>
      <c r="K9" s="13">
        <v>4.8</v>
      </c>
    </row>
    <row r="10" spans="1:16" x14ac:dyDescent="0.35">
      <c r="A10" s="14"/>
      <c r="B10" s="14">
        <f>AVERAGE(B7:B9)</f>
        <v>29.900000000000002</v>
      </c>
      <c r="C10" s="14">
        <f>AVERAGE(C7:C9)</f>
        <v>34</v>
      </c>
      <c r="D10" s="15">
        <f>AVERAGE(D7:D9)</f>
        <v>4.8866666666666658</v>
      </c>
      <c r="H10" s="14"/>
      <c r="I10" s="14">
        <f>AVERAGE(I7:I9)</f>
        <v>27.8</v>
      </c>
      <c r="J10" s="14">
        <f>AVERAGE(J7:J9)</f>
        <v>31.599999999999998</v>
      </c>
      <c r="K10" s="15">
        <f>AVERAGE(K7:K9)</f>
        <v>4.7333333333333334</v>
      </c>
      <c r="M10" s="23" t="s">
        <v>63</v>
      </c>
      <c r="N10" s="23" t="s">
        <v>64</v>
      </c>
      <c r="O10" s="23" t="s">
        <v>63</v>
      </c>
      <c r="P10" s="23" t="s">
        <v>66</v>
      </c>
    </row>
    <row r="11" spans="1:16" x14ac:dyDescent="0.35">
      <c r="A11" s="7" t="s">
        <v>38</v>
      </c>
      <c r="B11" s="7">
        <v>30.5</v>
      </c>
      <c r="C11" s="7">
        <v>36</v>
      </c>
      <c r="D11" s="7">
        <v>5.61</v>
      </c>
      <c r="H11" s="7" t="s">
        <v>38</v>
      </c>
      <c r="I11" s="13">
        <v>27.8</v>
      </c>
      <c r="J11" s="13">
        <v>33.6</v>
      </c>
      <c r="K11" s="13">
        <v>5.19</v>
      </c>
      <c r="M11" s="21">
        <v>27.8</v>
      </c>
      <c r="N11" s="21">
        <v>32.700000000000003</v>
      </c>
      <c r="O11" s="21">
        <v>27.8</v>
      </c>
      <c r="P11" s="21">
        <v>4.95</v>
      </c>
    </row>
    <row r="12" spans="1:16" x14ac:dyDescent="0.35">
      <c r="A12" s="7" t="s">
        <v>44</v>
      </c>
      <c r="B12" s="7">
        <v>29.3</v>
      </c>
      <c r="C12" s="7">
        <v>33.6</v>
      </c>
      <c r="D12" s="7">
        <v>5.71</v>
      </c>
      <c r="H12" s="7" t="s">
        <v>44</v>
      </c>
      <c r="I12" s="13">
        <v>27.5</v>
      </c>
      <c r="J12" s="13">
        <v>32.5</v>
      </c>
      <c r="K12" s="13">
        <v>4.8</v>
      </c>
      <c r="M12" s="21">
        <v>27.8</v>
      </c>
      <c r="N12" s="21">
        <v>31.6</v>
      </c>
      <c r="O12" s="21">
        <v>27.8</v>
      </c>
      <c r="P12" s="21">
        <v>4.7300000000000004</v>
      </c>
    </row>
    <row r="13" spans="1:16" x14ac:dyDescent="0.35">
      <c r="A13" s="7" t="s">
        <v>50</v>
      </c>
      <c r="B13" s="7">
        <v>30.1</v>
      </c>
      <c r="C13" s="7">
        <v>34.200000000000003</v>
      </c>
      <c r="D13" s="7">
        <v>5.67</v>
      </c>
      <c r="H13" s="7" t="s">
        <v>50</v>
      </c>
      <c r="I13" s="13">
        <v>27.7</v>
      </c>
      <c r="J13" s="13">
        <v>32.5</v>
      </c>
      <c r="K13" s="13">
        <v>4.32</v>
      </c>
      <c r="M13" s="21">
        <v>27.7</v>
      </c>
      <c r="N13" s="21">
        <v>32.9</v>
      </c>
      <c r="O13" s="21">
        <v>27.7</v>
      </c>
      <c r="P13" s="21">
        <v>4.7699999999999996</v>
      </c>
    </row>
    <row r="14" spans="1:16" x14ac:dyDescent="0.35">
      <c r="A14" s="14"/>
      <c r="B14" s="17">
        <f>AVERAGE(B11:B13)</f>
        <v>29.966666666666669</v>
      </c>
      <c r="C14" s="14">
        <f>AVERAGE(C11:C13)</f>
        <v>34.6</v>
      </c>
      <c r="D14" s="15">
        <f>AVERAGE(D11:D13)</f>
        <v>5.663333333333334</v>
      </c>
      <c r="H14" s="14"/>
      <c r="I14" s="16">
        <f>AVERAGE(I11:I13)</f>
        <v>27.666666666666668</v>
      </c>
      <c r="J14" s="16">
        <f>AVERAGE(J11:J13)</f>
        <v>32.866666666666667</v>
      </c>
      <c r="K14" s="14">
        <f>AVERAGE(K11:K13)</f>
        <v>4.7700000000000005</v>
      </c>
      <c r="M14" s="21">
        <v>28.1</v>
      </c>
      <c r="N14" s="21">
        <v>34.799999999999997</v>
      </c>
      <c r="O14" s="21">
        <v>28.1</v>
      </c>
      <c r="P14" s="21">
        <v>4.8</v>
      </c>
    </row>
    <row r="15" spans="1:16" x14ac:dyDescent="0.35">
      <c r="A15" s="7" t="s">
        <v>39</v>
      </c>
      <c r="B15" s="7">
        <v>29.2</v>
      </c>
      <c r="C15" s="7">
        <v>34.200000000000003</v>
      </c>
      <c r="D15" s="7">
        <v>4.87</v>
      </c>
      <c r="H15" s="7" t="s">
        <v>39</v>
      </c>
      <c r="I15" s="13">
        <v>28</v>
      </c>
      <c r="J15" s="13">
        <v>34.799999999999997</v>
      </c>
      <c r="K15" s="13">
        <v>5.59</v>
      </c>
      <c r="M15" s="21">
        <v>28.3</v>
      </c>
      <c r="N15" s="21">
        <v>34.200000000000003</v>
      </c>
      <c r="O15" s="21">
        <v>28.3</v>
      </c>
      <c r="P15" s="21">
        <v>4.8899999999999997</v>
      </c>
    </row>
    <row r="16" spans="1:16" x14ac:dyDescent="0.35">
      <c r="A16" s="7" t="s">
        <v>45</v>
      </c>
      <c r="B16" s="7">
        <v>29.1</v>
      </c>
      <c r="C16" s="7">
        <v>34.799999999999997</v>
      </c>
      <c r="D16" s="7">
        <v>4.8899999999999997</v>
      </c>
      <c r="H16" s="7" t="s">
        <v>45</v>
      </c>
      <c r="I16" s="13">
        <v>28.1</v>
      </c>
      <c r="J16" s="13">
        <v>36</v>
      </c>
      <c r="K16" s="13">
        <v>4.3899999999999997</v>
      </c>
      <c r="M16" s="21">
        <v>28.2</v>
      </c>
      <c r="N16" s="21">
        <v>33.5</v>
      </c>
      <c r="O16" s="21">
        <v>28.2</v>
      </c>
      <c r="P16" s="21">
        <v>5.12</v>
      </c>
    </row>
    <row r="17" spans="1:11" x14ac:dyDescent="0.35">
      <c r="A17" s="7" t="s">
        <v>51</v>
      </c>
      <c r="B17" s="7">
        <v>28.3</v>
      </c>
      <c r="C17" s="7">
        <v>33.1</v>
      </c>
      <c r="D17" s="7">
        <v>6.11</v>
      </c>
      <c r="H17" s="7" t="s">
        <v>51</v>
      </c>
      <c r="I17" s="13">
        <v>28.1</v>
      </c>
      <c r="J17" s="13">
        <v>33.6</v>
      </c>
      <c r="K17" s="13">
        <v>4.43</v>
      </c>
    </row>
    <row r="18" spans="1:11" x14ac:dyDescent="0.35">
      <c r="A18" s="14"/>
      <c r="B18" s="16">
        <f>AVERAGE(B15:B17)</f>
        <v>28.866666666666664</v>
      </c>
      <c r="C18" s="17">
        <f>AVERAGE(C15:C17)</f>
        <v>34.033333333333331</v>
      </c>
      <c r="D18" s="14">
        <f>AVERAGE(D15:D17)</f>
        <v>5.29</v>
      </c>
      <c r="H18" s="14"/>
      <c r="I18" s="16">
        <f>AVERAGE(I15:I17)</f>
        <v>28.066666666666666</v>
      </c>
      <c r="J18" s="14">
        <f>AVERAGE(J15:J17)</f>
        <v>34.800000000000004</v>
      </c>
      <c r="K18" s="15">
        <f>AVERAGE(K15:K17)</f>
        <v>4.8033333333333337</v>
      </c>
    </row>
    <row r="19" spans="1:11" x14ac:dyDescent="0.35">
      <c r="A19" s="7" t="s">
        <v>40</v>
      </c>
      <c r="B19" s="7">
        <v>29.8</v>
      </c>
      <c r="C19" s="7">
        <v>33.6</v>
      </c>
      <c r="D19" s="7">
        <v>4.47</v>
      </c>
      <c r="H19" s="7" t="s">
        <v>40</v>
      </c>
      <c r="I19" s="13">
        <v>28.5</v>
      </c>
      <c r="J19" s="13">
        <v>33.6</v>
      </c>
      <c r="K19" s="13">
        <v>5.38</v>
      </c>
    </row>
    <row r="20" spans="1:11" x14ac:dyDescent="0.35">
      <c r="A20" s="7" t="s">
        <v>46</v>
      </c>
      <c r="B20" s="7">
        <v>28.4</v>
      </c>
      <c r="C20" s="7">
        <v>54.8</v>
      </c>
      <c r="D20" s="7">
        <v>5.34</v>
      </c>
      <c r="H20" s="7" t="s">
        <v>46</v>
      </c>
      <c r="I20" s="13">
        <v>28.3</v>
      </c>
      <c r="J20" s="13">
        <v>34.799999999999997</v>
      </c>
      <c r="K20" s="13">
        <v>3.8</v>
      </c>
    </row>
    <row r="21" spans="1:11" x14ac:dyDescent="0.35">
      <c r="A21" s="7" t="s">
        <v>52</v>
      </c>
      <c r="B21" s="7">
        <v>28.6</v>
      </c>
      <c r="C21" s="7">
        <v>33.6</v>
      </c>
      <c r="D21" s="7">
        <v>5.05</v>
      </c>
      <c r="H21" s="7" t="s">
        <v>52</v>
      </c>
      <c r="I21" s="13">
        <v>28</v>
      </c>
      <c r="J21" s="13">
        <v>34.200000000000003</v>
      </c>
      <c r="K21" s="13">
        <v>5.49</v>
      </c>
    </row>
    <row r="22" spans="1:11" x14ac:dyDescent="0.35">
      <c r="A22" s="14"/>
      <c r="B22" s="16">
        <f>AVERAGE(B19:B21)</f>
        <v>28.933333333333337</v>
      </c>
      <c r="C22" s="16">
        <f>AVERAGE(C19:C21)</f>
        <v>40.666666666666664</v>
      </c>
      <c r="D22" s="15">
        <f>AVERAGE(D19:D21)</f>
        <v>4.9533333333333331</v>
      </c>
      <c r="H22" s="14"/>
      <c r="I22" s="16">
        <f>AVERAGE(I19:I21)</f>
        <v>28.266666666666666</v>
      </c>
      <c r="J22" s="14">
        <f>AVERAGE(J19:J21)</f>
        <v>34.200000000000003</v>
      </c>
      <c r="K22" s="14">
        <f>AVERAGE(K19:K21)</f>
        <v>4.8899999999999997</v>
      </c>
    </row>
    <row r="23" spans="1:11" x14ac:dyDescent="0.35">
      <c r="A23" s="7" t="s">
        <v>41</v>
      </c>
      <c r="B23" s="7">
        <v>27.8</v>
      </c>
      <c r="C23" s="7">
        <v>34.299999999999997</v>
      </c>
      <c r="D23" s="7">
        <v>2.92</v>
      </c>
      <c r="H23" s="7" t="s">
        <v>41</v>
      </c>
      <c r="I23" s="13">
        <v>28</v>
      </c>
      <c r="J23" s="13">
        <v>33.1</v>
      </c>
      <c r="K23" s="13">
        <v>5.25</v>
      </c>
    </row>
    <row r="24" spans="1:11" x14ac:dyDescent="0.35">
      <c r="A24" s="7" t="s">
        <v>47</v>
      </c>
      <c r="B24" s="7">
        <v>28.4</v>
      </c>
      <c r="C24" s="7">
        <v>34.200000000000003</v>
      </c>
      <c r="D24" s="7">
        <v>3.76</v>
      </c>
      <c r="H24" s="7" t="s">
        <v>47</v>
      </c>
      <c r="I24" s="13">
        <v>28.5</v>
      </c>
      <c r="J24" s="13">
        <v>34.200000000000003</v>
      </c>
      <c r="K24" s="13">
        <v>5.23</v>
      </c>
    </row>
    <row r="25" spans="1:11" x14ac:dyDescent="0.35">
      <c r="A25" s="7" t="s">
        <v>53</v>
      </c>
      <c r="B25" s="7">
        <v>28</v>
      </c>
      <c r="C25" s="7">
        <v>33.1</v>
      </c>
      <c r="D25" s="7">
        <v>3.05</v>
      </c>
      <c r="H25" s="7" t="s">
        <v>53</v>
      </c>
      <c r="I25" s="13">
        <v>28.2</v>
      </c>
      <c r="J25" s="13">
        <v>33.1</v>
      </c>
      <c r="K25" s="13">
        <v>4.87</v>
      </c>
    </row>
    <row r="26" spans="1:11" x14ac:dyDescent="0.35">
      <c r="A26" s="1"/>
      <c r="B26" s="19">
        <f>AVERAGE(B23:B25)</f>
        <v>28.066666666666666</v>
      </c>
      <c r="C26" s="19">
        <f>AVERAGE(C23:C25)</f>
        <v>33.866666666666667</v>
      </c>
      <c r="D26" s="18">
        <f>AVERAGE(D23:D25)</f>
        <v>3.2433333333333336</v>
      </c>
      <c r="H26" s="14"/>
      <c r="I26" s="16">
        <f>AVERAGE(I23:I25)</f>
        <v>28.233333333333334</v>
      </c>
      <c r="J26" s="16">
        <f>AVERAGE(J23:J25)</f>
        <v>33.466666666666669</v>
      </c>
      <c r="K26" s="15">
        <f>AVERAGE(K23:K25)</f>
        <v>5.1166666666666671</v>
      </c>
    </row>
  </sheetData>
  <mergeCells count="2">
    <mergeCell ref="A1:D1"/>
    <mergeCell ref="H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Ansyari</dc:creator>
  <cp:lastModifiedBy>Juli Yandi Rahman</cp:lastModifiedBy>
  <dcterms:created xsi:type="dcterms:W3CDTF">2024-01-03T09:17:51Z</dcterms:created>
  <dcterms:modified xsi:type="dcterms:W3CDTF">2025-02-05T14:30:39Z</dcterms:modified>
</cp:coreProperties>
</file>