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71660225 (Grafik Pasang Surut Excel)\"/>
    </mc:Choice>
  </mc:AlternateContent>
  <xr:revisionPtr revIDLastSave="0" documentId="13_ncr:1_{8C04AA26-30D4-4182-BBC1-3C5FD08BF353}" xr6:coauthVersionLast="47" xr6:coauthVersionMax="47" xr10:uidLastSave="{00000000-0000-0000-0000-000000000000}"/>
  <bookViews>
    <workbookView xWindow="-110" yWindow="-110" windowWidth="19420" windowHeight="10300" xr2:uid="{152062B6-63EB-4126-A022-D2DADB7FBCAF}"/>
  </bookViews>
  <sheets>
    <sheet name="Sheet2" sheetId="8" r:id="rId1"/>
    <sheet name="Sheet3" sheetId="9" r:id="rId2"/>
    <sheet name="Sheet4" sheetId="4" r:id="rId3"/>
    <sheet name="Sheet5" sheetId="5" r:id="rId4"/>
    <sheet name="Sheet6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8" l="1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44" i="8" l="1"/>
  <c r="D43" i="8"/>
</calcChain>
</file>

<file path=xl/sharedStrings.xml><?xml version="1.0" encoding="utf-8"?>
<sst xmlns="http://schemas.openxmlformats.org/spreadsheetml/2006/main" count="114" uniqueCount="78">
  <si>
    <t>Pasang</t>
  </si>
  <si>
    <t>Surut</t>
  </si>
  <si>
    <t>titik</t>
  </si>
  <si>
    <t>1.1</t>
  </si>
  <si>
    <t>2.1</t>
  </si>
  <si>
    <t>3.1</t>
  </si>
  <si>
    <t>4.1</t>
  </si>
  <si>
    <t>5.1</t>
  </si>
  <si>
    <t>6.1</t>
  </si>
  <si>
    <t>1.2</t>
  </si>
  <si>
    <t>2.2</t>
  </si>
  <si>
    <t>3.2</t>
  </si>
  <si>
    <t>4.2</t>
  </si>
  <si>
    <t>5.2</t>
  </si>
  <si>
    <t>6.2</t>
  </si>
  <si>
    <t>1.3</t>
  </si>
  <si>
    <t>2.3</t>
  </si>
  <si>
    <t>3.3</t>
  </si>
  <si>
    <t>4.3</t>
  </si>
  <si>
    <t>5.3</t>
  </si>
  <si>
    <t>6.3</t>
  </si>
  <si>
    <t>DO</t>
  </si>
  <si>
    <t>Suhu</t>
  </si>
  <si>
    <t>Salinitas</t>
  </si>
  <si>
    <t>Indeks Pasang Laut</t>
  </si>
  <si>
    <t>TTTT</t>
  </si>
  <si>
    <t>TTTTT</t>
  </si>
  <si>
    <t>Variabel</t>
  </si>
  <si>
    <t>Suhu-Pasang_Suhu-Surut</t>
  </si>
  <si>
    <t>Salinitas-Pasang_Salinitas-Surut</t>
  </si>
  <si>
    <t>DO-Pasang_DO-Surut</t>
  </si>
  <si>
    <t>Sig. (2-tailed)</t>
  </si>
  <si>
    <r>
      <t xml:space="preserve">Pada Gambar (n.n) dapat diketahui bahwa variabel yang berhubungan secara signifikan dengan pasang dan surut di Pulau Sanrobengi yaitu Suhu (sig. = 0,0001) dan salinitas (sig.= 0,015). Adapun variabel </t>
    </r>
    <r>
      <rPr>
        <i/>
        <sz val="11"/>
        <color theme="1"/>
        <rFont val="Calibri"/>
        <family val="2"/>
        <scheme val="minor"/>
      </rPr>
      <t xml:space="preserve">Dissolve Oxygen </t>
    </r>
    <r>
      <rPr>
        <sz val="11"/>
        <color theme="1"/>
        <rFont val="Calibri"/>
        <family val="2"/>
        <scheme val="minor"/>
      </rPr>
      <t>(DO) tidak berhubungan signifikan (sig. = 0,895).</t>
    </r>
  </si>
  <si>
    <t>Setiap peningkatan nilai indeks pasang laut sebesar 1 (satuan) akan meningkatkan suhu sebesar 0,08 (satuan). Adapun 4,69% angka suhu dipengaruhi oleh pasang laut.</t>
  </si>
  <si>
    <t>Setiap peningkatan nilai indeks surut laut sebesar 1 (satuan) akan menurunkan suhu sebesar 0,01 (satuan). Adapun 2,72% angka suhu dipengaruhi oleh surut laut.</t>
  </si>
  <si>
    <t>Setiap peningkatan nilai indeks pasang laut sebesar 1 (satuan) akan meningkatkan salinitas sebesar 0,06 (satuan). Adapun 7,46% angka salinitas dipengaruhi oleh pasang laut.</t>
  </si>
  <si>
    <t>Setiap peningkatan nilai indeks pasang laut sebesar 1 (satuan) akan menurunkan kadar DO sebesar 0,008 (satuan). Adapun 0,15% kadar DO dipengaruhi oleh pasang laut.</t>
  </si>
  <si>
    <t>Setiap peningkatan nilai indeks surut laut sebesar 1 (satuan) akan menurunkan salinitas sebesar 0,02 (satuan). Adapun 0,47% angka salinitas dipengaruhi oleh surut laut.</t>
  </si>
  <si>
    <t>Setiap peningkatan nilai indeks surut laut sebesar 1 (satuan) akan meningkatkan kadar DO sebesar 0,02 (satuan). Adapun 2,56% kadar DO dipengaruhi oleh surut laut.</t>
  </si>
  <si>
    <t>Dari grafik di atas, dapat diketahui bahwa peningkatan angka suhu dan salinitas berbanding lurus dengan peningkatan indeks pasang laut. Sedangkan peningkatan kadar DO berbanding terbalik dengan peningkatan indeks pasang laut.</t>
  </si>
  <si>
    <t>Dari grafik di atas, dapat diketahui bahwa peningkatan kadar DO berbanding lurus dengan peningkatan indeks surut laut. Sedangkan peningkatan kadar suhu dan salinitas berbanding terbalik dengan peningkatan indeks pasang laut.</t>
  </si>
  <si>
    <t>waktu</t>
  </si>
  <si>
    <t>pasang</t>
  </si>
  <si>
    <t>DATA PASANG SURUT DI PULAU SANROBENGI</t>
  </si>
  <si>
    <t>Jam</t>
  </si>
  <si>
    <t>H</t>
  </si>
  <si>
    <t>00.00</t>
  </si>
  <si>
    <t>01.00</t>
  </si>
  <si>
    <t>02.00</t>
  </si>
  <si>
    <t>03.00</t>
  </si>
  <si>
    <t>04.00</t>
  </si>
  <si>
    <t>05.00</t>
  </si>
  <si>
    <t>06.00</t>
  </si>
  <si>
    <t>07.00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</si>
  <si>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</si>
  <si>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</si>
  <si>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</si>
  <si>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</si>
  <si>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</si>
  <si>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</si>
  <si>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</si>
  <si>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</si>
  <si>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</si>
  <si>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</si>
  <si>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</si>
  <si>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</si>
  <si>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</si>
  <si>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</si>
  <si>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22.00</t>
  </si>
  <si>
    <t>23.00</t>
  </si>
  <si>
    <t>24.00</t>
  </si>
  <si>
    <t>TOTAL MUKA AIR RATA-RATA =</t>
  </si>
  <si>
    <t>MSL =</t>
  </si>
  <si>
    <t>SUHU</t>
  </si>
  <si>
    <t>SALINITAS</t>
  </si>
  <si>
    <t>TITIK</t>
  </si>
  <si>
    <t>PASANG</t>
  </si>
  <si>
    <t>SURUT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</si>
</sst>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2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/>
    <xf numFmtId="0" fontId="0" fillId="3" borderId="4" xfId="0" applyFill="1" applyBorder="1"/>
    <xf numFmtId="0" fontId="0" fillId="2" borderId="2" xfId="0" applyFill="1" applyBorder="1" applyAlignment="1">
      <alignment horizontal="center"/>
    </xf>
    <xf numFmtId="0" fontId="2" fillId="0" borderId="0" xfId="0" applyFont="1"/>
    <xf numFmtId="2" fontId="0" fillId="0" borderId="2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91089836697971"/>
          <c:y val="5.7894736842105263E-2"/>
          <c:w val="0.7056463573121321"/>
          <c:h val="0.64900745959386652"/>
        </c:manualLayout>
      </c:layout>
      <c:lineChart>
        <c:grouping val="standard"/>
        <c:varyColors val="0"/>
        <c:ser>
          <c:idx val="1"/>
          <c:order val="1"/>
          <c:tx>
            <c:v>MSL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[1]Sheet1!$A$4:$A$42</c:f>
              <c:strCache>
                <c:ptCount val="39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  <c:pt idx="24">
                  <c:v>24.00</c:v>
                </c:pt>
                <c:pt idx="25">
                  <c:v>01.00</c:v>
                </c:pt>
                <c:pt idx="26">
                  <c:v>02.00</c:v>
                </c:pt>
                <c:pt idx="27">
                  <c:v>03.00</c:v>
                </c:pt>
                <c:pt idx="28">
                  <c:v>04.00</c:v>
                </c:pt>
                <c:pt idx="29">
                  <c:v>05.00</c:v>
                </c:pt>
                <c:pt idx="30">
                  <c:v>06.00</c:v>
                </c:pt>
                <c:pt idx="31">
                  <c:v>07.00</c:v>
                </c:pt>
                <c:pt idx="32">
                  <c:v>08.00</c:v>
                </c:pt>
                <c:pt idx="33">
                  <c:v>09.00</c:v>
                </c:pt>
                <c:pt idx="34">
                  <c:v>10.00</c:v>
                </c:pt>
                <c:pt idx="35">
                  <c:v>11.00</c:v>
                </c:pt>
                <c:pt idx="36">
                  <c:v>12.00</c:v>
                </c:pt>
                <c:pt idx="37">
                  <c:v>13.00</c:v>
                </c:pt>
                <c:pt idx="38">
                  <c:v>14.00</c:v>
                </c:pt>
              </c:strCache>
            </c:strRef>
          </c:cat>
          <c:val>
            <c:numRef>
              <c:f>[1]Sheet1!$D$44</c:f>
              <c:numCache>
                <c:formatCode>General</c:formatCode>
                <c:ptCount val="1"/>
                <c:pt idx="0">
                  <c:v>7.8128205128205108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2-4431-A273-57ECFAC6A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19935"/>
        <c:axId val="2067689439"/>
      </c:lineChart>
      <c:lineChart>
        <c:grouping val="standard"/>
        <c:varyColors val="0"/>
        <c:ser>
          <c:idx val="0"/>
          <c:order val="0"/>
          <c:tx>
            <c:v>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[1]Sheet1!$A$4:$A$42</c:f>
              <c:strCache>
                <c:ptCount val="39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  <c:pt idx="24">
                  <c:v>24.00</c:v>
                </c:pt>
                <c:pt idx="25">
                  <c:v>01.00</c:v>
                </c:pt>
                <c:pt idx="26">
                  <c:v>02.00</c:v>
                </c:pt>
                <c:pt idx="27">
                  <c:v>03.00</c:v>
                </c:pt>
                <c:pt idx="28">
                  <c:v>04.00</c:v>
                </c:pt>
                <c:pt idx="29">
                  <c:v>05.00</c:v>
                </c:pt>
                <c:pt idx="30">
                  <c:v>06.00</c:v>
                </c:pt>
                <c:pt idx="31">
                  <c:v>07.00</c:v>
                </c:pt>
                <c:pt idx="32">
                  <c:v>08.00</c:v>
                </c:pt>
                <c:pt idx="33">
                  <c:v>09.00</c:v>
                </c:pt>
                <c:pt idx="34">
                  <c:v>10.00</c:v>
                </c:pt>
                <c:pt idx="35">
                  <c:v>11.00</c:v>
                </c:pt>
                <c:pt idx="36">
                  <c:v>12.00</c:v>
                </c:pt>
                <c:pt idx="37">
                  <c:v>13.00</c:v>
                </c:pt>
                <c:pt idx="38">
                  <c:v>14.00</c:v>
                </c:pt>
              </c:strCache>
            </c:strRef>
          </c:cat>
          <c:val>
            <c:numRef>
              <c:f>[1]Sheet1!$D$4:$D$42</c:f>
              <c:numCache>
                <c:formatCode>General</c:formatCode>
                <c:ptCount val="39"/>
                <c:pt idx="0">
                  <c:v>9.1000000000000014</c:v>
                </c:pt>
                <c:pt idx="1">
                  <c:v>9.4499999999999993</c:v>
                </c:pt>
                <c:pt idx="2">
                  <c:v>9.6999999999999993</c:v>
                </c:pt>
                <c:pt idx="3">
                  <c:v>10.050000000000001</c:v>
                </c:pt>
                <c:pt idx="4">
                  <c:v>10.3</c:v>
                </c:pt>
                <c:pt idx="5">
                  <c:v>10.9</c:v>
                </c:pt>
                <c:pt idx="6">
                  <c:v>11.35</c:v>
                </c:pt>
                <c:pt idx="7">
                  <c:v>12.2</c:v>
                </c:pt>
                <c:pt idx="8">
                  <c:v>11.3</c:v>
                </c:pt>
                <c:pt idx="9">
                  <c:v>10.5</c:v>
                </c:pt>
                <c:pt idx="10">
                  <c:v>8.9499999999999993</c:v>
                </c:pt>
                <c:pt idx="11">
                  <c:v>7.0500000000000007</c:v>
                </c:pt>
                <c:pt idx="12">
                  <c:v>5.35</c:v>
                </c:pt>
                <c:pt idx="13">
                  <c:v>2.95</c:v>
                </c:pt>
                <c:pt idx="14">
                  <c:v>1.7</c:v>
                </c:pt>
                <c:pt idx="15">
                  <c:v>0.8</c:v>
                </c:pt>
                <c:pt idx="16">
                  <c:v>0.6</c:v>
                </c:pt>
                <c:pt idx="17">
                  <c:v>1.5</c:v>
                </c:pt>
                <c:pt idx="18">
                  <c:v>2.9000000000000004</c:v>
                </c:pt>
                <c:pt idx="19">
                  <c:v>3.65</c:v>
                </c:pt>
                <c:pt idx="20">
                  <c:v>5.35</c:v>
                </c:pt>
                <c:pt idx="21">
                  <c:v>6.6999999999999993</c:v>
                </c:pt>
                <c:pt idx="22">
                  <c:v>7.1999999999999993</c:v>
                </c:pt>
                <c:pt idx="23">
                  <c:v>8.4499999999999993</c:v>
                </c:pt>
                <c:pt idx="24">
                  <c:v>9.65</c:v>
                </c:pt>
                <c:pt idx="25">
                  <c:v>9.9</c:v>
                </c:pt>
                <c:pt idx="26">
                  <c:v>10.25</c:v>
                </c:pt>
                <c:pt idx="27">
                  <c:v>10.6</c:v>
                </c:pt>
                <c:pt idx="28">
                  <c:v>11</c:v>
                </c:pt>
                <c:pt idx="29">
                  <c:v>11.55</c:v>
                </c:pt>
                <c:pt idx="30">
                  <c:v>11.899999999999999</c:v>
                </c:pt>
                <c:pt idx="31">
                  <c:v>11</c:v>
                </c:pt>
                <c:pt idx="32">
                  <c:v>10.75</c:v>
                </c:pt>
                <c:pt idx="33">
                  <c:v>10.4</c:v>
                </c:pt>
                <c:pt idx="34">
                  <c:v>9.8000000000000007</c:v>
                </c:pt>
                <c:pt idx="35">
                  <c:v>8.4</c:v>
                </c:pt>
                <c:pt idx="36">
                  <c:v>6</c:v>
                </c:pt>
                <c:pt idx="37">
                  <c:v>3.4</c:v>
                </c:pt>
                <c:pt idx="38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2-4431-A273-57ECFAC6A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979520"/>
        <c:axId val="1196988160"/>
      </c:lineChart>
      <c:dateAx>
        <c:axId val="193171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Pengamatan/Jam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689439"/>
        <c:crosses val="autoZero"/>
        <c:auto val="0"/>
        <c:lblOffset val="1"/>
        <c:baseTimeUnit val="days"/>
        <c:majorUnit val="2"/>
      </c:dateAx>
      <c:valAx>
        <c:axId val="20676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Tinggi (</a:t>
                </a:r>
                <a:r>
                  <a:rPr lang="id-ID"/>
                  <a:t>c</a:t>
                </a:r>
                <a:r>
                  <a:rPr lang="en-US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719935"/>
        <c:crosses val="autoZero"/>
        <c:crossBetween val="midCat"/>
      </c:valAx>
      <c:valAx>
        <c:axId val="1196988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979520"/>
        <c:crosses val="max"/>
        <c:crossBetween val="between"/>
      </c:valAx>
      <c:catAx>
        <c:axId val="1196979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69881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Grafik Pengaruh Pasang Laut Terhadap Suhu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233158355205598E-2"/>
                  <c:y val="-0.11983923884514436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Sheet4!$C$3:$C$20</c:f>
              <c:numCache>
                <c:formatCode>0.00</c:formatCode>
                <c:ptCount val="18"/>
                <c:pt idx="0">
                  <c:v>9.4</c:v>
                </c:pt>
                <c:pt idx="1">
                  <c:v>9.8000000000000007</c:v>
                </c:pt>
                <c:pt idx="2">
                  <c:v>10.1</c:v>
                </c:pt>
                <c:pt idx="3">
                  <c:v>10.5</c:v>
                </c:pt>
                <c:pt idx="4">
                  <c:v>10.7</c:v>
                </c:pt>
                <c:pt idx="5">
                  <c:v>11</c:v>
                </c:pt>
                <c:pt idx="6">
                  <c:v>11.6</c:v>
                </c:pt>
                <c:pt idx="7">
                  <c:v>12.5</c:v>
                </c:pt>
                <c:pt idx="8">
                  <c:v>11.5</c:v>
                </c:pt>
                <c:pt idx="9">
                  <c:v>10.7</c:v>
                </c:pt>
                <c:pt idx="10">
                  <c:v>9.1</c:v>
                </c:pt>
                <c:pt idx="11">
                  <c:v>7.2</c:v>
                </c:pt>
                <c:pt idx="12">
                  <c:v>5.5</c:v>
                </c:pt>
                <c:pt idx="13">
                  <c:v>3.1</c:v>
                </c:pt>
                <c:pt idx="14">
                  <c:v>1.9</c:v>
                </c:pt>
                <c:pt idx="15">
                  <c:v>0.9</c:v>
                </c:pt>
                <c:pt idx="16">
                  <c:v>0.7</c:v>
                </c:pt>
                <c:pt idx="17">
                  <c:v>1.6</c:v>
                </c:pt>
              </c:numCache>
            </c:numRef>
          </c:xVal>
          <c:yVal>
            <c:numRef>
              <c:f>Sheet4!$B$3:$B$20</c:f>
              <c:numCache>
                <c:formatCode>General</c:formatCode>
                <c:ptCount val="18"/>
                <c:pt idx="0">
                  <c:v>33</c:v>
                </c:pt>
                <c:pt idx="1">
                  <c:v>30.2</c:v>
                </c:pt>
                <c:pt idx="2">
                  <c:v>30.5</c:v>
                </c:pt>
                <c:pt idx="3">
                  <c:v>29.2</c:v>
                </c:pt>
                <c:pt idx="4">
                  <c:v>29.8</c:v>
                </c:pt>
                <c:pt idx="5">
                  <c:v>27.8</c:v>
                </c:pt>
                <c:pt idx="6">
                  <c:v>32.5</c:v>
                </c:pt>
                <c:pt idx="7">
                  <c:v>29.5</c:v>
                </c:pt>
                <c:pt idx="8">
                  <c:v>29.3</c:v>
                </c:pt>
                <c:pt idx="9">
                  <c:v>29.1</c:v>
                </c:pt>
                <c:pt idx="10">
                  <c:v>28.4</c:v>
                </c:pt>
                <c:pt idx="11">
                  <c:v>28.4</c:v>
                </c:pt>
                <c:pt idx="12">
                  <c:v>32.6</c:v>
                </c:pt>
                <c:pt idx="13">
                  <c:v>30</c:v>
                </c:pt>
                <c:pt idx="14">
                  <c:v>30.1</c:v>
                </c:pt>
                <c:pt idx="15">
                  <c:v>28.3</c:v>
                </c:pt>
                <c:pt idx="16">
                  <c:v>28.6</c:v>
                </c:pt>
                <c:pt idx="1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34-4DCA-B5AC-9037AC92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321424"/>
        <c:axId val="1719327664"/>
      </c:scatterChart>
      <c:valAx>
        <c:axId val="171932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Indeks</a:t>
                </a:r>
                <a:r>
                  <a:rPr lang="en-ID" b="1" baseline="0"/>
                  <a:t> Pasang Laut</a:t>
                </a:r>
                <a:endParaRPr lang="en-ID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27664"/>
        <c:crosses val="autoZero"/>
        <c:crossBetween val="midCat"/>
      </c:valAx>
      <c:valAx>
        <c:axId val="171932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Suhu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2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Grafik Pengaruh Surut Laut Terhadap Suhu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76363697895835"/>
                  <c:y val="-0.20828407558601325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Sheet4!$C$21:$C$38</c:f>
              <c:numCache>
                <c:formatCode>0.00</c:formatCode>
                <c:ptCount val="18"/>
                <c:pt idx="0">
                  <c:v>8.8000000000000007</c:v>
                </c:pt>
                <c:pt idx="1">
                  <c:v>9.1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10.8</c:v>
                </c:pt>
                <c:pt idx="6">
                  <c:v>11.1</c:v>
                </c:pt>
                <c:pt idx="7">
                  <c:v>11.9</c:v>
                </c:pt>
                <c:pt idx="8">
                  <c:v>11.1</c:v>
                </c:pt>
                <c:pt idx="9">
                  <c:v>10.3</c:v>
                </c:pt>
                <c:pt idx="10">
                  <c:v>8.8000000000000007</c:v>
                </c:pt>
                <c:pt idx="11">
                  <c:v>6.9</c:v>
                </c:pt>
                <c:pt idx="12">
                  <c:v>5.2</c:v>
                </c:pt>
                <c:pt idx="13">
                  <c:v>2.8</c:v>
                </c:pt>
                <c:pt idx="14">
                  <c:v>1.5</c:v>
                </c:pt>
                <c:pt idx="15">
                  <c:v>0.7</c:v>
                </c:pt>
                <c:pt idx="16">
                  <c:v>0.5</c:v>
                </c:pt>
                <c:pt idx="17">
                  <c:v>1.4</c:v>
                </c:pt>
              </c:numCache>
            </c:numRef>
          </c:xVal>
          <c:yVal>
            <c:numRef>
              <c:f>Sheet4!$B$21:$B$38</c:f>
              <c:numCache>
                <c:formatCode>General</c:formatCode>
                <c:ptCount val="18"/>
                <c:pt idx="0">
                  <c:v>27.4</c:v>
                </c:pt>
                <c:pt idx="1">
                  <c:v>28</c:v>
                </c:pt>
                <c:pt idx="2">
                  <c:v>27.8</c:v>
                </c:pt>
                <c:pt idx="3">
                  <c:v>28</c:v>
                </c:pt>
                <c:pt idx="4">
                  <c:v>28.5</c:v>
                </c:pt>
                <c:pt idx="5">
                  <c:v>28</c:v>
                </c:pt>
                <c:pt idx="6">
                  <c:v>27.6</c:v>
                </c:pt>
                <c:pt idx="7">
                  <c:v>27.7</c:v>
                </c:pt>
                <c:pt idx="8">
                  <c:v>27.5</c:v>
                </c:pt>
                <c:pt idx="9">
                  <c:v>28.1</c:v>
                </c:pt>
                <c:pt idx="10">
                  <c:v>28.3</c:v>
                </c:pt>
                <c:pt idx="11">
                  <c:v>28.5</c:v>
                </c:pt>
                <c:pt idx="12">
                  <c:v>28.3</c:v>
                </c:pt>
                <c:pt idx="13">
                  <c:v>27.7</c:v>
                </c:pt>
                <c:pt idx="14">
                  <c:v>27.7</c:v>
                </c:pt>
                <c:pt idx="15">
                  <c:v>28.1</c:v>
                </c:pt>
                <c:pt idx="16">
                  <c:v>28</c:v>
                </c:pt>
                <c:pt idx="17">
                  <c:v>28.2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58F-8D48-90EF315B4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321424"/>
        <c:axId val="1719321904"/>
      </c:scatterChart>
      <c:valAx>
        <c:axId val="171932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Indeks Surut Laut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21904"/>
        <c:crosses val="autoZero"/>
        <c:crossBetween val="midCat"/>
      </c:valAx>
      <c:valAx>
        <c:axId val="171932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Suhu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2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Grafik Pengaruh Pasang Laut Terhadap 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Grafik Pengaruh Pasang Laut Terhadap 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209973753280839E-3"/>
                  <c:y val="0.3081528871391076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Sheet4!$AF$2:$AF$19</c:f>
              <c:numCache>
                <c:formatCode>0.00</c:formatCode>
                <c:ptCount val="18"/>
                <c:pt idx="0">
                  <c:v>9.4</c:v>
                </c:pt>
                <c:pt idx="1">
                  <c:v>9.8000000000000007</c:v>
                </c:pt>
                <c:pt idx="2">
                  <c:v>10.1</c:v>
                </c:pt>
                <c:pt idx="3">
                  <c:v>10.5</c:v>
                </c:pt>
                <c:pt idx="4">
                  <c:v>10.7</c:v>
                </c:pt>
                <c:pt idx="5">
                  <c:v>11</c:v>
                </c:pt>
                <c:pt idx="6">
                  <c:v>11.6</c:v>
                </c:pt>
                <c:pt idx="7">
                  <c:v>12.5</c:v>
                </c:pt>
                <c:pt idx="8">
                  <c:v>11.5</c:v>
                </c:pt>
                <c:pt idx="9">
                  <c:v>10.7</c:v>
                </c:pt>
                <c:pt idx="10">
                  <c:v>9.1</c:v>
                </c:pt>
                <c:pt idx="11">
                  <c:v>7.2</c:v>
                </c:pt>
                <c:pt idx="12">
                  <c:v>5.5</c:v>
                </c:pt>
                <c:pt idx="13">
                  <c:v>3.1</c:v>
                </c:pt>
                <c:pt idx="14">
                  <c:v>1.9</c:v>
                </c:pt>
                <c:pt idx="15">
                  <c:v>0.9</c:v>
                </c:pt>
                <c:pt idx="16">
                  <c:v>0.7</c:v>
                </c:pt>
                <c:pt idx="17">
                  <c:v>1.6</c:v>
                </c:pt>
              </c:numCache>
            </c:numRef>
          </c:xVal>
          <c:yVal>
            <c:numRef>
              <c:f>Sheet4!$AE$2:$AE$19</c:f>
              <c:numCache>
                <c:formatCode>General</c:formatCode>
                <c:ptCount val="18"/>
                <c:pt idx="0">
                  <c:v>6.19</c:v>
                </c:pt>
                <c:pt idx="1">
                  <c:v>4.59</c:v>
                </c:pt>
                <c:pt idx="2">
                  <c:v>5.61</c:v>
                </c:pt>
                <c:pt idx="3">
                  <c:v>4.87</c:v>
                </c:pt>
                <c:pt idx="4">
                  <c:v>4.47</c:v>
                </c:pt>
                <c:pt idx="5">
                  <c:v>2.92</c:v>
                </c:pt>
                <c:pt idx="6">
                  <c:v>4.67</c:v>
                </c:pt>
                <c:pt idx="7">
                  <c:v>5.31</c:v>
                </c:pt>
                <c:pt idx="8">
                  <c:v>5.71</c:v>
                </c:pt>
                <c:pt idx="9">
                  <c:v>4.8899999999999997</c:v>
                </c:pt>
                <c:pt idx="10">
                  <c:v>5.34</c:v>
                </c:pt>
                <c:pt idx="11">
                  <c:v>3.76</c:v>
                </c:pt>
                <c:pt idx="12">
                  <c:v>5.52</c:v>
                </c:pt>
                <c:pt idx="13">
                  <c:v>4.76</c:v>
                </c:pt>
                <c:pt idx="14">
                  <c:v>5.67</c:v>
                </c:pt>
                <c:pt idx="15">
                  <c:v>6.11</c:v>
                </c:pt>
                <c:pt idx="16">
                  <c:v>5.05</c:v>
                </c:pt>
                <c:pt idx="17">
                  <c:v>3.05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A8-4326-BD4E-22C0DD422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330544"/>
        <c:axId val="1719330064"/>
      </c:scatterChart>
      <c:valAx>
        <c:axId val="171933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Indeks Pasang Laut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30064"/>
        <c:crosses val="autoZero"/>
        <c:crossBetween val="midCat"/>
      </c:valAx>
      <c:valAx>
        <c:axId val="171933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Kadar</a:t>
                </a:r>
                <a:r>
                  <a:rPr lang="en-ID" b="1" baseline="0"/>
                  <a:t> DO</a:t>
                </a:r>
                <a:endParaRPr lang="en-ID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3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Grafik Pengaruh Surut Laut Terhadap 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Grafik Pengaruh Surut Laut Terhadap 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606362515572253E-2"/>
                  <c:y val="0.35534693464337502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Sheet4!$AF$20:$AF$37</c:f>
              <c:numCache>
                <c:formatCode>0.00</c:formatCode>
                <c:ptCount val="18"/>
                <c:pt idx="0">
                  <c:v>8.8000000000000007</c:v>
                </c:pt>
                <c:pt idx="1">
                  <c:v>9.1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10.8</c:v>
                </c:pt>
                <c:pt idx="6">
                  <c:v>11.1</c:v>
                </c:pt>
                <c:pt idx="7">
                  <c:v>11.9</c:v>
                </c:pt>
                <c:pt idx="8">
                  <c:v>11.1</c:v>
                </c:pt>
                <c:pt idx="9">
                  <c:v>10.3</c:v>
                </c:pt>
                <c:pt idx="10">
                  <c:v>8.8000000000000007</c:v>
                </c:pt>
                <c:pt idx="11">
                  <c:v>6.9</c:v>
                </c:pt>
                <c:pt idx="12">
                  <c:v>5.2</c:v>
                </c:pt>
                <c:pt idx="13">
                  <c:v>2.8</c:v>
                </c:pt>
                <c:pt idx="14">
                  <c:v>1.5</c:v>
                </c:pt>
                <c:pt idx="15">
                  <c:v>0.7</c:v>
                </c:pt>
                <c:pt idx="16">
                  <c:v>0.5</c:v>
                </c:pt>
                <c:pt idx="17">
                  <c:v>1.4</c:v>
                </c:pt>
              </c:numCache>
            </c:numRef>
          </c:xVal>
          <c:yVal>
            <c:numRef>
              <c:f>Sheet4!$AE$20:$AE$37</c:f>
              <c:numCache>
                <c:formatCode>General</c:formatCode>
                <c:ptCount val="18"/>
                <c:pt idx="0">
                  <c:v>4.6100000000000003</c:v>
                </c:pt>
                <c:pt idx="1">
                  <c:v>4.87</c:v>
                </c:pt>
                <c:pt idx="2">
                  <c:v>5.19</c:v>
                </c:pt>
                <c:pt idx="3">
                  <c:v>5.59</c:v>
                </c:pt>
                <c:pt idx="4">
                  <c:v>5.38</c:v>
                </c:pt>
                <c:pt idx="5">
                  <c:v>5.25</c:v>
                </c:pt>
                <c:pt idx="6">
                  <c:v>5.7</c:v>
                </c:pt>
                <c:pt idx="7">
                  <c:v>4.53</c:v>
                </c:pt>
                <c:pt idx="8">
                  <c:v>4.8</c:v>
                </c:pt>
                <c:pt idx="9">
                  <c:v>4.3899999999999997</c:v>
                </c:pt>
                <c:pt idx="10">
                  <c:v>3.8</c:v>
                </c:pt>
                <c:pt idx="11">
                  <c:v>5.23</c:v>
                </c:pt>
                <c:pt idx="12">
                  <c:v>4.54</c:v>
                </c:pt>
                <c:pt idx="13">
                  <c:v>4.8</c:v>
                </c:pt>
                <c:pt idx="14">
                  <c:v>4.32</c:v>
                </c:pt>
                <c:pt idx="15">
                  <c:v>4.43</c:v>
                </c:pt>
                <c:pt idx="16">
                  <c:v>5.49</c:v>
                </c:pt>
                <c:pt idx="17">
                  <c:v>4.87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D0-4243-81B3-3C7BA98C4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028080"/>
        <c:axId val="1717018480"/>
      </c:scatterChart>
      <c:valAx>
        <c:axId val="171702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Indeks</a:t>
                </a:r>
                <a:r>
                  <a:rPr lang="en-ID" b="1" baseline="0"/>
                  <a:t> Surut Laur</a:t>
                </a:r>
                <a:endParaRPr lang="en-ID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018480"/>
        <c:crosses val="autoZero"/>
        <c:crossBetween val="midCat"/>
      </c:valAx>
      <c:valAx>
        <c:axId val="171701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Kadar 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02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Grafik Pengaruh Pasang Laut Terhadap Salinitas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Grafik Pengaruh Pasang Laut Terhadap Salinitas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351325303261304"/>
                  <c:y val="-0.20318654621789278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Sheet4!$S$2:$S$19</c:f>
              <c:numCache>
                <c:formatCode>0.00</c:formatCode>
                <c:ptCount val="18"/>
                <c:pt idx="0">
                  <c:v>9.4</c:v>
                </c:pt>
                <c:pt idx="1">
                  <c:v>9.8000000000000007</c:v>
                </c:pt>
                <c:pt idx="2">
                  <c:v>10.1</c:v>
                </c:pt>
                <c:pt idx="3">
                  <c:v>10.5</c:v>
                </c:pt>
                <c:pt idx="4">
                  <c:v>10.7</c:v>
                </c:pt>
                <c:pt idx="5">
                  <c:v>11</c:v>
                </c:pt>
                <c:pt idx="6">
                  <c:v>11.6</c:v>
                </c:pt>
                <c:pt idx="7">
                  <c:v>12.5</c:v>
                </c:pt>
                <c:pt idx="8">
                  <c:v>11.5</c:v>
                </c:pt>
                <c:pt idx="9">
                  <c:v>10.7</c:v>
                </c:pt>
                <c:pt idx="10">
                  <c:v>9.1</c:v>
                </c:pt>
                <c:pt idx="11">
                  <c:v>7.2</c:v>
                </c:pt>
                <c:pt idx="12">
                  <c:v>5.5</c:v>
                </c:pt>
                <c:pt idx="13">
                  <c:v>3.1</c:v>
                </c:pt>
                <c:pt idx="14">
                  <c:v>1.9</c:v>
                </c:pt>
                <c:pt idx="15">
                  <c:v>0.9</c:v>
                </c:pt>
                <c:pt idx="16">
                  <c:v>0.7</c:v>
                </c:pt>
                <c:pt idx="17">
                  <c:v>1.6</c:v>
                </c:pt>
              </c:numCache>
            </c:numRef>
          </c:xVal>
          <c:yVal>
            <c:numRef>
              <c:f>Sheet4!$R$2:$R$19</c:f>
              <c:numCache>
                <c:formatCode>General</c:formatCode>
                <c:ptCount val="18"/>
                <c:pt idx="0">
                  <c:v>33.6</c:v>
                </c:pt>
                <c:pt idx="1">
                  <c:v>36</c:v>
                </c:pt>
                <c:pt idx="2">
                  <c:v>36</c:v>
                </c:pt>
                <c:pt idx="3">
                  <c:v>34.200000000000003</c:v>
                </c:pt>
                <c:pt idx="4">
                  <c:v>33.6</c:v>
                </c:pt>
                <c:pt idx="5">
                  <c:v>34.299999999999997</c:v>
                </c:pt>
                <c:pt idx="6">
                  <c:v>34.200000000000003</c:v>
                </c:pt>
                <c:pt idx="7">
                  <c:v>32.5</c:v>
                </c:pt>
                <c:pt idx="8">
                  <c:v>33.6</c:v>
                </c:pt>
                <c:pt idx="9">
                  <c:v>34.799999999999997</c:v>
                </c:pt>
                <c:pt idx="10">
                  <c:v>34.799999999999997</c:v>
                </c:pt>
                <c:pt idx="11">
                  <c:v>34.200000000000003</c:v>
                </c:pt>
                <c:pt idx="12">
                  <c:v>34.799999999999997</c:v>
                </c:pt>
                <c:pt idx="13">
                  <c:v>33.5</c:v>
                </c:pt>
                <c:pt idx="14">
                  <c:v>34.200000000000003</c:v>
                </c:pt>
                <c:pt idx="15">
                  <c:v>33.1</c:v>
                </c:pt>
                <c:pt idx="16">
                  <c:v>33.6</c:v>
                </c:pt>
                <c:pt idx="17">
                  <c:v>33.1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D2-4EA3-BB14-A704B4CC3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038160"/>
        <c:axId val="1719318064"/>
      </c:scatterChart>
      <c:valAx>
        <c:axId val="1717038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Indeks Pasang Laut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18064"/>
        <c:crosses val="autoZero"/>
        <c:crossBetween val="midCat"/>
      </c:valAx>
      <c:valAx>
        <c:axId val="171931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Salinitas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03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Grafik Pengaruh Surut Laut Terhadap Salinitas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Grafik Pengaruh Surut Laut Terhadap Salinitas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619618503315944"/>
                  <c:y val="-0.23715578798762962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Sheet4!$S$20:$S$37</c:f>
              <c:numCache>
                <c:formatCode>0.00</c:formatCode>
                <c:ptCount val="18"/>
                <c:pt idx="0">
                  <c:v>8.8000000000000007</c:v>
                </c:pt>
                <c:pt idx="1">
                  <c:v>9.1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10.8</c:v>
                </c:pt>
                <c:pt idx="6">
                  <c:v>11.1</c:v>
                </c:pt>
                <c:pt idx="7">
                  <c:v>11.9</c:v>
                </c:pt>
                <c:pt idx="8">
                  <c:v>11.1</c:v>
                </c:pt>
                <c:pt idx="9">
                  <c:v>10.3</c:v>
                </c:pt>
                <c:pt idx="10">
                  <c:v>8.8000000000000007</c:v>
                </c:pt>
                <c:pt idx="11">
                  <c:v>6.9</c:v>
                </c:pt>
                <c:pt idx="12">
                  <c:v>5.2</c:v>
                </c:pt>
                <c:pt idx="13">
                  <c:v>2.8</c:v>
                </c:pt>
                <c:pt idx="14">
                  <c:v>1.5</c:v>
                </c:pt>
                <c:pt idx="15">
                  <c:v>0.7</c:v>
                </c:pt>
                <c:pt idx="16">
                  <c:v>0.5</c:v>
                </c:pt>
                <c:pt idx="17">
                  <c:v>1.4</c:v>
                </c:pt>
              </c:numCache>
            </c:numRef>
          </c:xVal>
          <c:yVal>
            <c:numRef>
              <c:f>Sheet4!$R$20:$R$37</c:f>
              <c:numCache>
                <c:formatCode>General</c:formatCode>
                <c:ptCount val="18"/>
                <c:pt idx="0">
                  <c:v>32</c:v>
                </c:pt>
                <c:pt idx="1">
                  <c:v>32</c:v>
                </c:pt>
                <c:pt idx="2">
                  <c:v>33.6</c:v>
                </c:pt>
                <c:pt idx="3">
                  <c:v>34.799999999999997</c:v>
                </c:pt>
                <c:pt idx="4">
                  <c:v>33.6</c:v>
                </c:pt>
                <c:pt idx="5">
                  <c:v>33.1</c:v>
                </c:pt>
                <c:pt idx="6">
                  <c:v>33.1</c:v>
                </c:pt>
                <c:pt idx="7">
                  <c:v>30.3</c:v>
                </c:pt>
                <c:pt idx="8">
                  <c:v>32.5</c:v>
                </c:pt>
                <c:pt idx="9">
                  <c:v>36</c:v>
                </c:pt>
                <c:pt idx="10">
                  <c:v>34.799999999999997</c:v>
                </c:pt>
                <c:pt idx="11">
                  <c:v>34.200000000000003</c:v>
                </c:pt>
                <c:pt idx="12">
                  <c:v>33.1</c:v>
                </c:pt>
                <c:pt idx="13">
                  <c:v>32.5</c:v>
                </c:pt>
                <c:pt idx="14">
                  <c:v>32.5</c:v>
                </c:pt>
                <c:pt idx="15">
                  <c:v>33.6</c:v>
                </c:pt>
                <c:pt idx="16">
                  <c:v>34.200000000000003</c:v>
                </c:pt>
                <c:pt idx="17">
                  <c:v>33.1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1-4BAB-AC40-D34FACDF3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301264"/>
        <c:axId val="1719302704"/>
      </c:scatterChart>
      <c:valAx>
        <c:axId val="171930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Indeks Pasang Laut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02704"/>
        <c:crosses val="autoZero"/>
        <c:crossBetween val="midCat"/>
      </c:valAx>
      <c:valAx>
        <c:axId val="171930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Salinitas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0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Grafik Pengaruh</a:t>
            </a:r>
            <a:r>
              <a:rPr lang="en-ID" b="1" baseline="0"/>
              <a:t> Pasang Laut Terhadap Suhu, Salinitas dan Kadar DO</a:t>
            </a:r>
            <a:endParaRPr lang="en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Suhu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017023295816835"/>
                  <c:y val="0.12969112767041538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Sheet5!$B$2:$B$19</c:f>
              <c:numCache>
                <c:formatCode>0.00</c:formatCode>
                <c:ptCount val="18"/>
                <c:pt idx="0">
                  <c:v>9.4</c:v>
                </c:pt>
                <c:pt idx="1">
                  <c:v>9.8000000000000007</c:v>
                </c:pt>
                <c:pt idx="2">
                  <c:v>10.1</c:v>
                </c:pt>
                <c:pt idx="3">
                  <c:v>10.5</c:v>
                </c:pt>
                <c:pt idx="4">
                  <c:v>10.7</c:v>
                </c:pt>
                <c:pt idx="5">
                  <c:v>11</c:v>
                </c:pt>
                <c:pt idx="6">
                  <c:v>11.6</c:v>
                </c:pt>
                <c:pt idx="7">
                  <c:v>12.5</c:v>
                </c:pt>
                <c:pt idx="8">
                  <c:v>11.5</c:v>
                </c:pt>
                <c:pt idx="9">
                  <c:v>10.7</c:v>
                </c:pt>
                <c:pt idx="10">
                  <c:v>9.1</c:v>
                </c:pt>
                <c:pt idx="11">
                  <c:v>7.2</c:v>
                </c:pt>
                <c:pt idx="12">
                  <c:v>5.5</c:v>
                </c:pt>
                <c:pt idx="13">
                  <c:v>3.1</c:v>
                </c:pt>
                <c:pt idx="14">
                  <c:v>1.9</c:v>
                </c:pt>
                <c:pt idx="15">
                  <c:v>0.9</c:v>
                </c:pt>
                <c:pt idx="16">
                  <c:v>0.7</c:v>
                </c:pt>
                <c:pt idx="17">
                  <c:v>1.6</c:v>
                </c:pt>
              </c:numCache>
            </c:numRef>
          </c:xVal>
          <c:yVal>
            <c:numRef>
              <c:f>Sheet5!$C$2:$C$19</c:f>
              <c:numCache>
                <c:formatCode>General</c:formatCode>
                <c:ptCount val="18"/>
                <c:pt idx="0">
                  <c:v>33</c:v>
                </c:pt>
                <c:pt idx="1">
                  <c:v>30.2</c:v>
                </c:pt>
                <c:pt idx="2">
                  <c:v>30.5</c:v>
                </c:pt>
                <c:pt idx="3">
                  <c:v>29.2</c:v>
                </c:pt>
                <c:pt idx="4">
                  <c:v>29.8</c:v>
                </c:pt>
                <c:pt idx="5">
                  <c:v>27.8</c:v>
                </c:pt>
                <c:pt idx="6">
                  <c:v>32.5</c:v>
                </c:pt>
                <c:pt idx="7">
                  <c:v>29.5</c:v>
                </c:pt>
                <c:pt idx="8">
                  <c:v>29.3</c:v>
                </c:pt>
                <c:pt idx="9">
                  <c:v>29.1</c:v>
                </c:pt>
                <c:pt idx="10">
                  <c:v>28.4</c:v>
                </c:pt>
                <c:pt idx="11">
                  <c:v>28.4</c:v>
                </c:pt>
                <c:pt idx="12">
                  <c:v>32.6</c:v>
                </c:pt>
                <c:pt idx="13">
                  <c:v>30</c:v>
                </c:pt>
                <c:pt idx="14">
                  <c:v>30.1</c:v>
                </c:pt>
                <c:pt idx="15">
                  <c:v>28.3</c:v>
                </c:pt>
                <c:pt idx="16">
                  <c:v>28.6</c:v>
                </c:pt>
                <c:pt idx="1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F-45F3-9F89-8ADC7ADCDEAC}"/>
            </c:ext>
          </c:extLst>
        </c:ser>
        <c:ser>
          <c:idx val="1"/>
          <c:order val="1"/>
          <c:tx>
            <c:strRef>
              <c:f>Sheet5!$D$1</c:f>
              <c:strCache>
                <c:ptCount val="1"/>
                <c:pt idx="0">
                  <c:v>Salinitas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101482371200769E-2"/>
                  <c:y val="0.1865090767591399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Sheet5!$B$2:$B$19</c:f>
              <c:numCache>
                <c:formatCode>0.00</c:formatCode>
                <c:ptCount val="18"/>
                <c:pt idx="0">
                  <c:v>9.4</c:v>
                </c:pt>
                <c:pt idx="1">
                  <c:v>9.8000000000000007</c:v>
                </c:pt>
                <c:pt idx="2">
                  <c:v>10.1</c:v>
                </c:pt>
                <c:pt idx="3">
                  <c:v>10.5</c:v>
                </c:pt>
                <c:pt idx="4">
                  <c:v>10.7</c:v>
                </c:pt>
                <c:pt idx="5">
                  <c:v>11</c:v>
                </c:pt>
                <c:pt idx="6">
                  <c:v>11.6</c:v>
                </c:pt>
                <c:pt idx="7">
                  <c:v>12.5</c:v>
                </c:pt>
                <c:pt idx="8">
                  <c:v>11.5</c:v>
                </c:pt>
                <c:pt idx="9">
                  <c:v>10.7</c:v>
                </c:pt>
                <c:pt idx="10">
                  <c:v>9.1</c:v>
                </c:pt>
                <c:pt idx="11">
                  <c:v>7.2</c:v>
                </c:pt>
                <c:pt idx="12">
                  <c:v>5.5</c:v>
                </c:pt>
                <c:pt idx="13">
                  <c:v>3.1</c:v>
                </c:pt>
                <c:pt idx="14">
                  <c:v>1.9</c:v>
                </c:pt>
                <c:pt idx="15">
                  <c:v>0.9</c:v>
                </c:pt>
                <c:pt idx="16">
                  <c:v>0.7</c:v>
                </c:pt>
                <c:pt idx="17">
                  <c:v>1.6</c:v>
                </c:pt>
              </c:numCache>
            </c:numRef>
          </c:xVal>
          <c:yVal>
            <c:numRef>
              <c:f>Sheet5!$D$2:$D$19</c:f>
              <c:numCache>
                <c:formatCode>General</c:formatCode>
                <c:ptCount val="18"/>
                <c:pt idx="0">
                  <c:v>33.6</c:v>
                </c:pt>
                <c:pt idx="1">
                  <c:v>36</c:v>
                </c:pt>
                <c:pt idx="2">
                  <c:v>36</c:v>
                </c:pt>
                <c:pt idx="3">
                  <c:v>34.200000000000003</c:v>
                </c:pt>
                <c:pt idx="4">
                  <c:v>33.6</c:v>
                </c:pt>
                <c:pt idx="5">
                  <c:v>34.299999999999997</c:v>
                </c:pt>
                <c:pt idx="6">
                  <c:v>34.200000000000003</c:v>
                </c:pt>
                <c:pt idx="7">
                  <c:v>32.5</c:v>
                </c:pt>
                <c:pt idx="8">
                  <c:v>33.6</c:v>
                </c:pt>
                <c:pt idx="9">
                  <c:v>34.799999999999997</c:v>
                </c:pt>
                <c:pt idx="10">
                  <c:v>34.799999999999997</c:v>
                </c:pt>
                <c:pt idx="11">
                  <c:v>34.200000000000003</c:v>
                </c:pt>
                <c:pt idx="12">
                  <c:v>34.799999999999997</c:v>
                </c:pt>
                <c:pt idx="13">
                  <c:v>33.5</c:v>
                </c:pt>
                <c:pt idx="14">
                  <c:v>34.200000000000003</c:v>
                </c:pt>
                <c:pt idx="15">
                  <c:v>33.1</c:v>
                </c:pt>
                <c:pt idx="16">
                  <c:v>33.6</c:v>
                </c:pt>
                <c:pt idx="17">
                  <c:v>33.1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BF-45F3-9F89-8ADC7ADCDEAC}"/>
            </c:ext>
          </c:extLst>
        </c:ser>
        <c:ser>
          <c:idx val="2"/>
          <c:order val="2"/>
          <c:tx>
            <c:strRef>
              <c:f>Sheet5!$E$1</c:f>
              <c:strCache>
                <c:ptCount val="1"/>
                <c:pt idx="0">
                  <c:v>DO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92914868692261"/>
                  <c:y val="-0.11376684728541266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Sheet5!$B$2:$B$19</c:f>
              <c:numCache>
                <c:formatCode>0.00</c:formatCode>
                <c:ptCount val="18"/>
                <c:pt idx="0">
                  <c:v>9.4</c:v>
                </c:pt>
                <c:pt idx="1">
                  <c:v>9.8000000000000007</c:v>
                </c:pt>
                <c:pt idx="2">
                  <c:v>10.1</c:v>
                </c:pt>
                <c:pt idx="3">
                  <c:v>10.5</c:v>
                </c:pt>
                <c:pt idx="4">
                  <c:v>10.7</c:v>
                </c:pt>
                <c:pt idx="5">
                  <c:v>11</c:v>
                </c:pt>
                <c:pt idx="6">
                  <c:v>11.6</c:v>
                </c:pt>
                <c:pt idx="7">
                  <c:v>12.5</c:v>
                </c:pt>
                <c:pt idx="8">
                  <c:v>11.5</c:v>
                </c:pt>
                <c:pt idx="9">
                  <c:v>10.7</c:v>
                </c:pt>
                <c:pt idx="10">
                  <c:v>9.1</c:v>
                </c:pt>
                <c:pt idx="11">
                  <c:v>7.2</c:v>
                </c:pt>
                <c:pt idx="12">
                  <c:v>5.5</c:v>
                </c:pt>
                <c:pt idx="13">
                  <c:v>3.1</c:v>
                </c:pt>
                <c:pt idx="14">
                  <c:v>1.9</c:v>
                </c:pt>
                <c:pt idx="15">
                  <c:v>0.9</c:v>
                </c:pt>
                <c:pt idx="16">
                  <c:v>0.7</c:v>
                </c:pt>
                <c:pt idx="17">
                  <c:v>1.6</c:v>
                </c:pt>
              </c:numCache>
            </c:numRef>
          </c:xVal>
          <c:yVal>
            <c:numRef>
              <c:f>Sheet5!$E$2:$E$19</c:f>
              <c:numCache>
                <c:formatCode>General</c:formatCode>
                <c:ptCount val="18"/>
                <c:pt idx="0">
                  <c:v>6.19</c:v>
                </c:pt>
                <c:pt idx="1">
                  <c:v>4.59</c:v>
                </c:pt>
                <c:pt idx="2">
                  <c:v>5.61</c:v>
                </c:pt>
                <c:pt idx="3">
                  <c:v>4.87</c:v>
                </c:pt>
                <c:pt idx="4">
                  <c:v>4.47</c:v>
                </c:pt>
                <c:pt idx="5">
                  <c:v>2.92</c:v>
                </c:pt>
                <c:pt idx="6">
                  <c:v>4.67</c:v>
                </c:pt>
                <c:pt idx="7">
                  <c:v>5.31</c:v>
                </c:pt>
                <c:pt idx="8">
                  <c:v>5.71</c:v>
                </c:pt>
                <c:pt idx="9">
                  <c:v>4.8899999999999997</c:v>
                </c:pt>
                <c:pt idx="10">
                  <c:v>5.34</c:v>
                </c:pt>
                <c:pt idx="11">
                  <c:v>3.76</c:v>
                </c:pt>
                <c:pt idx="12">
                  <c:v>5.52</c:v>
                </c:pt>
                <c:pt idx="13">
                  <c:v>4.76</c:v>
                </c:pt>
                <c:pt idx="14">
                  <c:v>5.67</c:v>
                </c:pt>
                <c:pt idx="15">
                  <c:v>6.11</c:v>
                </c:pt>
                <c:pt idx="16">
                  <c:v>5.05</c:v>
                </c:pt>
                <c:pt idx="17">
                  <c:v>3.05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BF-45F3-9F89-8ADC7ADCD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324304"/>
        <c:axId val="1719313744"/>
      </c:scatterChart>
      <c:valAx>
        <c:axId val="171932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Indeks Pasang Laut</a:t>
                </a:r>
              </a:p>
            </c:rich>
          </c:tx>
          <c:layout>
            <c:manualLayout>
              <c:xMode val="edge"/>
              <c:yMode val="edge"/>
              <c:x val="0.39666552980312492"/>
              <c:y val="0.889339315204432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13744"/>
        <c:crosses val="autoZero"/>
        <c:crossBetween val="midCat"/>
      </c:valAx>
      <c:valAx>
        <c:axId val="171931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2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35984439798132578"/>
          <c:y val="0.81527052782420295"/>
          <c:w val="0.25520767794338778"/>
          <c:h val="6.2558343593632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Grafik Pengaruh Surut Laut Terhadap Suhu, Salinitas dan Kadar 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Sheet5!$C$20</c:f>
              <c:strCache>
                <c:ptCount val="1"/>
                <c:pt idx="0">
                  <c:v>Suhu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145844737322277"/>
                  <c:y val="0.1032694475760992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-0.0133x + 28.062</a:t>
                    </a:r>
                    <a:br>
                      <a:rPr lang="en-US" b="1" baseline="0"/>
                    </a:br>
                    <a:r>
                      <a:rPr lang="en-US" b="1" baseline="0"/>
                      <a:t>R² = 0.0272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Sheet5!$B$21:$B$38</c:f>
              <c:numCache>
                <c:formatCode>0.00</c:formatCode>
                <c:ptCount val="18"/>
                <c:pt idx="0">
                  <c:v>8.8000000000000007</c:v>
                </c:pt>
                <c:pt idx="1">
                  <c:v>9.1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10.8</c:v>
                </c:pt>
                <c:pt idx="6">
                  <c:v>11.1</c:v>
                </c:pt>
                <c:pt idx="7">
                  <c:v>11.9</c:v>
                </c:pt>
                <c:pt idx="8">
                  <c:v>11.1</c:v>
                </c:pt>
                <c:pt idx="9">
                  <c:v>10.3</c:v>
                </c:pt>
                <c:pt idx="10">
                  <c:v>8.8000000000000007</c:v>
                </c:pt>
                <c:pt idx="11">
                  <c:v>6.9</c:v>
                </c:pt>
                <c:pt idx="12">
                  <c:v>5.2</c:v>
                </c:pt>
                <c:pt idx="13">
                  <c:v>2.8</c:v>
                </c:pt>
                <c:pt idx="14">
                  <c:v>1.5</c:v>
                </c:pt>
                <c:pt idx="15">
                  <c:v>0.7</c:v>
                </c:pt>
                <c:pt idx="16">
                  <c:v>0.5</c:v>
                </c:pt>
                <c:pt idx="17">
                  <c:v>1.4</c:v>
                </c:pt>
              </c:numCache>
            </c:numRef>
          </c:xVal>
          <c:yVal>
            <c:numRef>
              <c:f>Sheet5!$C$21:$C$38</c:f>
              <c:numCache>
                <c:formatCode>General</c:formatCode>
                <c:ptCount val="18"/>
                <c:pt idx="0">
                  <c:v>27.4</c:v>
                </c:pt>
                <c:pt idx="1">
                  <c:v>28</c:v>
                </c:pt>
                <c:pt idx="2">
                  <c:v>27.8</c:v>
                </c:pt>
                <c:pt idx="3">
                  <c:v>28</c:v>
                </c:pt>
                <c:pt idx="4">
                  <c:v>28.5</c:v>
                </c:pt>
                <c:pt idx="5">
                  <c:v>28</c:v>
                </c:pt>
                <c:pt idx="6">
                  <c:v>27.6</c:v>
                </c:pt>
                <c:pt idx="7">
                  <c:v>27.7</c:v>
                </c:pt>
                <c:pt idx="8">
                  <c:v>27.5</c:v>
                </c:pt>
                <c:pt idx="9">
                  <c:v>28.1</c:v>
                </c:pt>
                <c:pt idx="10">
                  <c:v>28.3</c:v>
                </c:pt>
                <c:pt idx="11">
                  <c:v>28.5</c:v>
                </c:pt>
                <c:pt idx="12">
                  <c:v>28.3</c:v>
                </c:pt>
                <c:pt idx="13">
                  <c:v>27.7</c:v>
                </c:pt>
                <c:pt idx="14">
                  <c:v>27.7</c:v>
                </c:pt>
                <c:pt idx="15">
                  <c:v>28.1</c:v>
                </c:pt>
                <c:pt idx="16">
                  <c:v>28</c:v>
                </c:pt>
                <c:pt idx="17">
                  <c:v>28.2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B8-482D-9557-35849DDAEA80}"/>
            </c:ext>
          </c:extLst>
        </c:ser>
        <c:ser>
          <c:idx val="1"/>
          <c:order val="1"/>
          <c:tx>
            <c:strRef>
              <c:f>Sheet5!$D$20</c:f>
              <c:strCache>
                <c:ptCount val="1"/>
                <c:pt idx="0">
                  <c:v>Salinitas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12265779611764"/>
                  <c:y val="0.1775316247814006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-0.0218x + 33.435</a:t>
                    </a:r>
                    <a:br>
                      <a:rPr lang="en-US" b="1" baseline="0"/>
                    </a:br>
                    <a:r>
                      <a:rPr lang="en-US" b="1" baseline="0"/>
                      <a:t>R² = 0.0047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Sheet5!$B$21:$B$38</c:f>
              <c:numCache>
                <c:formatCode>0.00</c:formatCode>
                <c:ptCount val="18"/>
                <c:pt idx="0">
                  <c:v>8.8000000000000007</c:v>
                </c:pt>
                <c:pt idx="1">
                  <c:v>9.1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10.8</c:v>
                </c:pt>
                <c:pt idx="6">
                  <c:v>11.1</c:v>
                </c:pt>
                <c:pt idx="7">
                  <c:v>11.9</c:v>
                </c:pt>
                <c:pt idx="8">
                  <c:v>11.1</c:v>
                </c:pt>
                <c:pt idx="9">
                  <c:v>10.3</c:v>
                </c:pt>
                <c:pt idx="10">
                  <c:v>8.8000000000000007</c:v>
                </c:pt>
                <c:pt idx="11">
                  <c:v>6.9</c:v>
                </c:pt>
                <c:pt idx="12">
                  <c:v>5.2</c:v>
                </c:pt>
                <c:pt idx="13">
                  <c:v>2.8</c:v>
                </c:pt>
                <c:pt idx="14">
                  <c:v>1.5</c:v>
                </c:pt>
                <c:pt idx="15">
                  <c:v>0.7</c:v>
                </c:pt>
                <c:pt idx="16">
                  <c:v>0.5</c:v>
                </c:pt>
                <c:pt idx="17">
                  <c:v>1.4</c:v>
                </c:pt>
              </c:numCache>
            </c:numRef>
          </c:xVal>
          <c:yVal>
            <c:numRef>
              <c:f>Sheet5!$D$21:$D$38</c:f>
              <c:numCache>
                <c:formatCode>General</c:formatCode>
                <c:ptCount val="18"/>
                <c:pt idx="0">
                  <c:v>32</c:v>
                </c:pt>
                <c:pt idx="1">
                  <c:v>32</c:v>
                </c:pt>
                <c:pt idx="2">
                  <c:v>33.6</c:v>
                </c:pt>
                <c:pt idx="3">
                  <c:v>34.799999999999997</c:v>
                </c:pt>
                <c:pt idx="4">
                  <c:v>33.6</c:v>
                </c:pt>
                <c:pt idx="5">
                  <c:v>33.1</c:v>
                </c:pt>
                <c:pt idx="6">
                  <c:v>33.1</c:v>
                </c:pt>
                <c:pt idx="7">
                  <c:v>30.3</c:v>
                </c:pt>
                <c:pt idx="8">
                  <c:v>32.5</c:v>
                </c:pt>
                <c:pt idx="9">
                  <c:v>36</c:v>
                </c:pt>
                <c:pt idx="10">
                  <c:v>34.799999999999997</c:v>
                </c:pt>
                <c:pt idx="11">
                  <c:v>34.200000000000003</c:v>
                </c:pt>
                <c:pt idx="12">
                  <c:v>33.1</c:v>
                </c:pt>
                <c:pt idx="13">
                  <c:v>32.5</c:v>
                </c:pt>
                <c:pt idx="14">
                  <c:v>32.5</c:v>
                </c:pt>
                <c:pt idx="15">
                  <c:v>33.6</c:v>
                </c:pt>
                <c:pt idx="16">
                  <c:v>34.200000000000003</c:v>
                </c:pt>
                <c:pt idx="17">
                  <c:v>33.1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B8-482D-9557-35849DDAEA80}"/>
            </c:ext>
          </c:extLst>
        </c:ser>
        <c:ser>
          <c:idx val="2"/>
          <c:order val="2"/>
          <c:tx>
            <c:strRef>
              <c:f>Sheet5!$E$20</c:f>
              <c:strCache>
                <c:ptCount val="1"/>
                <c:pt idx="0">
                  <c:v>DO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37240398426133"/>
                  <c:y val="-7.845289350105194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0.0201x + 4.7322</a:t>
                    </a:r>
                    <a:br>
                      <a:rPr lang="en-US" b="1" baseline="0"/>
                    </a:br>
                    <a:r>
                      <a:rPr lang="en-US" b="1" baseline="0"/>
                      <a:t>R² = 0.0256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Sheet5!$B$21:$B$38</c:f>
              <c:numCache>
                <c:formatCode>0.00</c:formatCode>
                <c:ptCount val="18"/>
                <c:pt idx="0">
                  <c:v>8.8000000000000007</c:v>
                </c:pt>
                <c:pt idx="1">
                  <c:v>9.1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10.8</c:v>
                </c:pt>
                <c:pt idx="6">
                  <c:v>11.1</c:v>
                </c:pt>
                <c:pt idx="7">
                  <c:v>11.9</c:v>
                </c:pt>
                <c:pt idx="8">
                  <c:v>11.1</c:v>
                </c:pt>
                <c:pt idx="9">
                  <c:v>10.3</c:v>
                </c:pt>
                <c:pt idx="10">
                  <c:v>8.8000000000000007</c:v>
                </c:pt>
                <c:pt idx="11">
                  <c:v>6.9</c:v>
                </c:pt>
                <c:pt idx="12">
                  <c:v>5.2</c:v>
                </c:pt>
                <c:pt idx="13">
                  <c:v>2.8</c:v>
                </c:pt>
                <c:pt idx="14">
                  <c:v>1.5</c:v>
                </c:pt>
                <c:pt idx="15">
                  <c:v>0.7</c:v>
                </c:pt>
                <c:pt idx="16">
                  <c:v>0.5</c:v>
                </c:pt>
                <c:pt idx="17">
                  <c:v>1.4</c:v>
                </c:pt>
              </c:numCache>
            </c:numRef>
          </c:xVal>
          <c:yVal>
            <c:numRef>
              <c:f>Sheet5!$E$21:$E$38</c:f>
              <c:numCache>
                <c:formatCode>General</c:formatCode>
                <c:ptCount val="18"/>
                <c:pt idx="0">
                  <c:v>4.6100000000000003</c:v>
                </c:pt>
                <c:pt idx="1">
                  <c:v>4.87</c:v>
                </c:pt>
                <c:pt idx="2">
                  <c:v>5.19</c:v>
                </c:pt>
                <c:pt idx="3">
                  <c:v>5.59</c:v>
                </c:pt>
                <c:pt idx="4">
                  <c:v>5.38</c:v>
                </c:pt>
                <c:pt idx="5">
                  <c:v>5.25</c:v>
                </c:pt>
                <c:pt idx="6">
                  <c:v>5.7</c:v>
                </c:pt>
                <c:pt idx="7">
                  <c:v>4.53</c:v>
                </c:pt>
                <c:pt idx="8">
                  <c:v>4.8</c:v>
                </c:pt>
                <c:pt idx="9">
                  <c:v>4.3899999999999997</c:v>
                </c:pt>
                <c:pt idx="10">
                  <c:v>3.8</c:v>
                </c:pt>
                <c:pt idx="11">
                  <c:v>5.23</c:v>
                </c:pt>
                <c:pt idx="12">
                  <c:v>4.54</c:v>
                </c:pt>
                <c:pt idx="13">
                  <c:v>4.8</c:v>
                </c:pt>
                <c:pt idx="14">
                  <c:v>4.32</c:v>
                </c:pt>
                <c:pt idx="15">
                  <c:v>4.43</c:v>
                </c:pt>
                <c:pt idx="16">
                  <c:v>5.49</c:v>
                </c:pt>
                <c:pt idx="17">
                  <c:v>4.87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B8-482D-9557-35849DDAE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118768"/>
        <c:axId val="1818119248"/>
      </c:scatterChart>
      <c:valAx>
        <c:axId val="181811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Indeks Surut Laut</a:t>
                </a:r>
              </a:p>
            </c:rich>
          </c:tx>
          <c:layout>
            <c:manualLayout>
              <c:xMode val="edge"/>
              <c:yMode val="edge"/>
              <c:x val="0.42148135555861294"/>
              <c:y val="0.883607131287163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19248"/>
        <c:crosses val="autoZero"/>
        <c:crossBetween val="midCat"/>
      </c:valAx>
      <c:valAx>
        <c:axId val="181811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1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37209269241047666"/>
          <c:y val="0.81728282817726972"/>
          <c:w val="0.24616086651794428"/>
          <c:h val="6.22123989368557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Uji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Sheet6!$C$2</c:f>
              <c:strCache>
                <c:ptCount val="1"/>
                <c:pt idx="0">
                  <c:v>Sig. (2-tailed)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Sheet6!$B$3:$B$5</c:f>
              <c:strCache>
                <c:ptCount val="3"/>
                <c:pt idx="0">
                  <c:v>Suhu-Pasang_Suhu-Surut</c:v>
                </c:pt>
                <c:pt idx="1">
                  <c:v>Salinitas-Pasang_Salinitas-Surut</c:v>
                </c:pt>
                <c:pt idx="2">
                  <c:v>DO-Pasang_DO-Surut</c:v>
                </c:pt>
              </c:strCache>
            </c:strRef>
          </c:cat>
          <c:val>
            <c:numRef>
              <c:f>Sheet6!$C$3:$C$5</c:f>
              <c:numCache>
                <c:formatCode>General</c:formatCode>
                <c:ptCount val="3"/>
                <c:pt idx="0">
                  <c:v>1E-4</c:v>
                </c:pt>
                <c:pt idx="1">
                  <c:v>1.4999999999999999E-2</c:v>
                </c:pt>
                <c:pt idx="2">
                  <c:v>0.89500000000000002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2-46D4-8296-AA7E0BAA0F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8105328"/>
        <c:axId val="1818129808"/>
      </c:barChart>
      <c:catAx>
        <c:axId val="181810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29808"/>
        <c:crosses val="autoZero"/>
        <c:auto val="1"/>
        <c:lblAlgn val="ctr"/>
        <c:lblOffset val="100"/>
        <c:noMultiLvlLbl val="0"/>
      </c:catAx>
      <c:valAx>
        <c:axId val="181812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Parameter</a:t>
                </a:r>
                <a:r>
                  <a:rPr lang="en-ID" baseline="0"/>
                  <a:t> Hubungan Keterkaitan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0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595923</xdr:colOff>
      <xdr:row>26</xdr:row>
      <xdr:rowOff>117231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FACEDC-BB7C-4B1C-985D-99DAF5F10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176892</xdr:colOff>
      <xdr:row>2</xdr:row>
      <xdr:rowOff>25399</xdr:rowOff>
    </xdr:from>
    <xdr:to>
      <xdr:col>13</xdr:col>
      <xdr:colOff>344714</xdr:colOff>
      <xdr:row>19</xdr:row>
      <xdr:rowOff>72570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0C6258-35C2-3CD5-F482-5ADA8AE9A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312962</xdr:colOff>
      <xdr:row>24</xdr:row>
      <xdr:rowOff>97970</xdr:rowOff>
    </xdr:from>
    <xdr:to>
      <xdr:col>13</xdr:col>
      <xdr:colOff>503464</xdr:colOff>
      <xdr:row>41</xdr:row>
      <xdr:rowOff>45357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9F50E65-35A2-64FF-923F-94089CD06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548821</xdr:colOff>
      <xdr:row>1</xdr:row>
      <xdr:rowOff>179613</xdr:rowOff>
    </xdr:from>
    <xdr:to>
      <xdr:col>41</xdr:col>
      <xdr:colOff>580572</xdr:colOff>
      <xdr:row>19</xdr:row>
      <xdr:rowOff>9070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0D553E-6520-97E7-AFE5-990B2A4AD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521606</xdr:colOff>
      <xdr:row>24</xdr:row>
      <xdr:rowOff>7255</xdr:rowOff>
    </xdr:from>
    <xdr:to>
      <xdr:col>42</xdr:col>
      <xdr:colOff>9071</xdr:colOff>
      <xdr:row>40</xdr:row>
      <xdr:rowOff>126999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B1960C-9689-2E80-5F22-BB3B864A1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566963</xdr:colOff>
      <xdr:row>0</xdr:row>
      <xdr:rowOff>161471</xdr:rowOff>
    </xdr:from>
    <xdr:to>
      <xdr:col>29</xdr:col>
      <xdr:colOff>18142</xdr:colOff>
      <xdr:row>18</xdr:row>
      <xdr:rowOff>117929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6DE616E-854A-26B7-914E-8296D2B5C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539749</xdr:colOff>
      <xdr:row>24</xdr:row>
      <xdr:rowOff>52615</xdr:rowOff>
    </xdr:from>
    <xdr:to>
      <xdr:col>29</xdr:col>
      <xdr:colOff>117928</xdr:colOff>
      <xdr:row>42</xdr:row>
      <xdr:rowOff>18143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A4ADC85-CC3E-54BF-1AC2-132543C80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149224</xdr:colOff>
      <xdr:row>1</xdr:row>
      <xdr:rowOff>104774</xdr:rowOff>
    </xdr:from>
    <xdr:to>
      <xdr:col>15</xdr:col>
      <xdr:colOff>19050</xdr:colOff>
      <xdr:row>20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5E3592-0B92-5E86-089B-A8C795684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200024</xdr:colOff>
      <xdr:row>31</xdr:row>
      <xdr:rowOff>142874</xdr:rowOff>
    </xdr:from>
    <xdr:to>
      <xdr:col>15</xdr:col>
      <xdr:colOff>266700</xdr:colOff>
      <xdr:row>50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1EB158-C3C2-7153-47BA-7DB8EA04A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298450</xdr:colOff>
      <xdr:row>0</xdr:row>
      <xdr:rowOff>180974</xdr:rowOff>
    </xdr:from>
    <xdr:to>
      <xdr:col>13</xdr:col>
      <xdr:colOff>304800</xdr:colOff>
      <xdr:row>17</xdr:row>
      <xdr:rowOff>107949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A6248-4D5F-48DC-C3DB-436A50A17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DMI\Documents\kaiayayz\data%20pasut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Sheet2"/>
      <sheetName val="Sheet3"/>
    </sheetNames>
    <sheetDataSet>
      <sheetData sheetId="0">
        <row r="4">
          <cell r="A4" t="str">
            <v>00.00</v>
          </cell>
          <cell r="D4">
            <v>9.1000000000000014</v>
          </cell>
        </row>
        <row r="5">
          <cell r="A5" t="str">
            <v>01.00</v>
          </cell>
          <cell r="D5">
            <v>9.4499999999999993</v>
          </cell>
        </row>
        <row r="6">
          <cell r="A6" t="str">
            <v>02.00</v>
          </cell>
          <cell r="D6">
            <v>9.6999999999999993</v>
          </cell>
        </row>
        <row r="7">
          <cell r="A7" t="str">
            <v>03.00</v>
          </cell>
          <cell r="D7">
            <v>10.050000000000001</v>
          </cell>
        </row>
        <row r="8">
          <cell r="A8" t="str">
            <v>04.00</v>
          </cell>
          <cell r="D8">
            <v>10.3</v>
          </cell>
        </row>
        <row r="9">
          <cell r="A9" t="str">
            <v>05.00</v>
          </cell>
          <cell r="D9">
            <v>10.9</v>
          </cell>
        </row>
        <row r="10">
          <cell r="A10" t="str">
            <v>06.00</v>
          </cell>
          <cell r="D10">
            <v>11.35</v>
          </cell>
        </row>
        <row r="11">
          <cell r="A11" t="str">
            <v>07.00</v>
          </cell>
          <cell r="D11">
            <v>12.2</v>
          </cell>
        </row>
        <row r="12">
          <cell r="A12" t="str">
            <v>08.00</v>
          </cell>
          <cell r="D12">
            <v>11.3</v>
          </cell>
        </row>
        <row r="13">
          <cell r="A13" t="str">
            <v>09.00</v>
          </cell>
          <cell r="D13">
            <v>10.5</v>
          </cell>
        </row>
        <row r="14">
          <cell r="A14" t="str">
            <v>10.00</v>
          </cell>
          <cell r="D14">
            <v>8.9499999999999993</v>
          </cell>
        </row>
        <row r="15">
          <cell r="A15" t="str">
            <v>11.00</v>
          </cell>
          <cell r="D15">
            <v>7.0500000000000007</v>
          </cell>
        </row>
        <row r="16">
          <cell r="A16" t="str">
            <v>12.00</v>
          </cell>
          <cell r="D16">
            <v>5.35</v>
          </cell>
        </row>
        <row r="17">
          <cell r="A17" t="str">
            <v>13.00</v>
          </cell>
          <cell r="D17">
            <v>2.95</v>
          </cell>
        </row>
        <row r="18">
          <cell r="A18" t="str">
            <v>14.00</v>
          </cell>
          <cell r="D18">
            <v>1.7</v>
          </cell>
        </row>
        <row r="19">
          <cell r="A19" t="str">
            <v>15.00</v>
          </cell>
          <cell r="D19">
            <v>0.8</v>
          </cell>
        </row>
        <row r="20">
          <cell r="A20" t="str">
            <v>16.00</v>
          </cell>
          <cell r="D20">
            <v>0.6</v>
          </cell>
        </row>
        <row r="21">
          <cell r="A21" t="str">
            <v>17.00</v>
          </cell>
          <cell r="D21">
            <v>1.5</v>
          </cell>
        </row>
        <row r="22">
          <cell r="A22" t="str">
            <v>18.00</v>
          </cell>
          <cell r="D22">
            <v>2.9000000000000004</v>
          </cell>
        </row>
        <row r="23">
          <cell r="A23" t="str">
            <v>19.00</v>
          </cell>
          <cell r="D23">
            <v>3.65</v>
          </cell>
        </row>
        <row r="24">
          <cell r="A24" t="str">
            <v>20.00</v>
          </cell>
          <cell r="D24">
            <v>5.35</v>
          </cell>
        </row>
        <row r="25">
          <cell r="A25" t="str">
            <v>21.00</v>
          </cell>
          <cell r="D25">
            <v>6.6999999999999993</v>
          </cell>
        </row>
        <row r="26">
          <cell r="A26" t="str">
            <v>22.00</v>
          </cell>
          <cell r="D26">
            <v>7.1999999999999993</v>
          </cell>
        </row>
        <row r="27">
          <cell r="A27" t="str">
            <v>23.00</v>
          </cell>
          <cell r="D27">
            <v>8.4499999999999993</v>
          </cell>
        </row>
        <row r="28">
          <cell r="A28" t="str">
            <v>24.00</v>
          </cell>
          <cell r="D28">
            <v>9.65</v>
          </cell>
        </row>
        <row r="29">
          <cell r="A29" t="str">
            <v>01.00</v>
          </cell>
          <cell r="D29">
            <v>9.9</v>
          </cell>
        </row>
        <row r="30">
          <cell r="A30" t="str">
            <v>02.00</v>
          </cell>
          <cell r="D30">
            <v>10.25</v>
          </cell>
        </row>
        <row r="31">
          <cell r="A31" t="str">
            <v>03.00</v>
          </cell>
          <cell r="D31">
            <v>10.6</v>
          </cell>
        </row>
        <row r="32">
          <cell r="A32" t="str">
            <v>04.00</v>
          </cell>
          <cell r="D32">
            <v>11</v>
          </cell>
        </row>
        <row r="33">
          <cell r="A33" t="str">
            <v>05.00</v>
          </cell>
          <cell r="D33">
            <v>11.55</v>
          </cell>
        </row>
        <row r="34">
          <cell r="A34" t="str">
            <v>06.00</v>
          </cell>
          <cell r="D34">
            <v>11.899999999999999</v>
          </cell>
        </row>
        <row r="35">
          <cell r="A35" t="str">
            <v>07.00</v>
          </cell>
          <cell r="D35">
            <v>11</v>
          </cell>
        </row>
        <row r="36">
          <cell r="A36" t="str">
            <v>08.00</v>
          </cell>
          <cell r="D36">
            <v>10.75</v>
          </cell>
        </row>
        <row r="37">
          <cell r="A37" t="str">
            <v>09.00</v>
          </cell>
          <cell r="D37">
            <v>10.4</v>
          </cell>
        </row>
        <row r="38">
          <cell r="A38" t="str">
            <v>10.00</v>
          </cell>
          <cell r="D38">
            <v>9.8000000000000007</v>
          </cell>
        </row>
        <row r="39">
          <cell r="A39" t="str">
            <v>11.00</v>
          </cell>
          <cell r="D39">
            <v>8.4</v>
          </cell>
        </row>
        <row r="40">
          <cell r="A40" t="str">
            <v>12.00</v>
          </cell>
          <cell r="D40">
            <v>6</v>
          </cell>
        </row>
        <row r="41">
          <cell r="A41" t="str">
            <v>13.00</v>
          </cell>
          <cell r="D41">
            <v>3.4</v>
          </cell>
        </row>
        <row r="42">
          <cell r="A42" t="str">
            <v>14.00</v>
          </cell>
          <cell r="D42">
            <v>2.1</v>
          </cell>
        </row>
        <row r="44">
          <cell r="D44">
            <v>7.8128205128205108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5F6D-F6F6-47BB-82C3-8FDE5D11F11D}">
  <dimension ref="A2:D44"/>
  <sheetViews>
    <sheetView tabSelected="1" zoomScale="65" workbookViewId="0">
      <selection activeCell="X10" sqref="X10"/>
    </sheetView>
  </sheetViews>
  <sheetFormatPr defaultRowHeight="14.5" x14ac:dyDescent="0.35"/>
  <sheetData>
    <row r="2" spans="1:4" x14ac:dyDescent="0.35">
      <c r="A2" s="11" t="s">
        <v>43</v>
      </c>
      <c r="B2" s="11"/>
      <c r="C2" s="11"/>
      <c r="D2" s="11"/>
    </row>
    <row r="3" spans="1:4" x14ac:dyDescent="0.35">
      <c r="A3" s="1" t="s">
        <v>44</v>
      </c>
      <c r="B3" s="6" t="s">
        <v>0</v>
      </c>
      <c r="C3" s="6" t="s">
        <v>1</v>
      </c>
      <c r="D3" s="6" t="s">
        <v>45</v>
      </c>
    </row>
    <row r="4" spans="1:4" x14ac:dyDescent="0.35">
      <c r="A4" s="1" t="s">
        <v>46</v>
      </c>
      <c r="B4" s="2">
        <v>9.4</v>
      </c>
      <c r="C4" s="2">
        <v>8.8000000000000007</v>
      </c>
      <c r="D4" s="8">
        <f>((B4+C4)/2)</f>
        <v>9.1000000000000014</v>
      </c>
    </row>
    <row r="5" spans="1:4" x14ac:dyDescent="0.35">
      <c r="A5" s="1" t="s">
        <v>47</v>
      </c>
      <c r="B5" s="2">
        <v>9.8000000000000007</v>
      </c>
      <c r="C5" s="2">
        <v>9.1</v>
      </c>
      <c r="D5" s="8">
        <f t="shared" ref="D5:D42" si="0">((B5+C5)/2)</f>
        <v>9.4499999999999993</v>
      </c>
    </row>
    <row r="6" spans="1:4" x14ac:dyDescent="0.35">
      <c r="A6" s="1" t="s">
        <v>48</v>
      </c>
      <c r="B6" s="2">
        <v>10.1</v>
      </c>
      <c r="C6" s="2">
        <v>9.3000000000000007</v>
      </c>
      <c r="D6" s="8">
        <f t="shared" si="0"/>
        <v>9.6999999999999993</v>
      </c>
    </row>
    <row r="7" spans="1:4" x14ac:dyDescent="0.35">
      <c r="A7" s="1" t="s">
        <v>49</v>
      </c>
      <c r="B7" s="2">
        <v>10.5</v>
      </c>
      <c r="C7" s="2">
        <v>9.6</v>
      </c>
      <c r="D7" s="8">
        <f t="shared" si="0"/>
        <v>10.050000000000001</v>
      </c>
    </row>
    <row r="8" spans="1:4" x14ac:dyDescent="0.35">
      <c r="A8" s="1" t="s">
        <v>50</v>
      </c>
      <c r="B8" s="2">
        <v>10.7</v>
      </c>
      <c r="C8" s="2">
        <v>9.9</v>
      </c>
      <c r="D8" s="8">
        <f t="shared" si="0"/>
        <v>10.3</v>
      </c>
    </row>
    <row r="9" spans="1:4" x14ac:dyDescent="0.35">
      <c r="A9" s="1" t="s">
        <v>51</v>
      </c>
      <c r="B9" s="2">
        <v>11</v>
      </c>
      <c r="C9" s="2">
        <v>10.8</v>
      </c>
      <c r="D9" s="8">
        <f t="shared" si="0"/>
        <v>10.9</v>
      </c>
    </row>
    <row r="10" spans="1:4" x14ac:dyDescent="0.35">
      <c r="A10" s="1" t="s">
        <v>52</v>
      </c>
      <c r="B10" s="2">
        <v>11.6</v>
      </c>
      <c r="C10" s="2">
        <v>11.1</v>
      </c>
      <c r="D10" s="8">
        <f t="shared" si="0"/>
        <v>11.35</v>
      </c>
    </row>
    <row r="11" spans="1:4" x14ac:dyDescent="0.35">
      <c r="A11" s="1" t="s">
        <v>53</v>
      </c>
      <c r="B11" s="2">
        <v>12.5</v>
      </c>
      <c r="C11" s="2">
        <v>11.9</v>
      </c>
      <c r="D11" s="8">
        <f t="shared" si="0"/>
        <v>12.2</v>
      </c>
    </row>
    <row r="12" spans="1:4" x14ac:dyDescent="0.35">
      <c r="A12" s="1" t="s">
        <v>54</v>
      </c>
      <c r="B12" s="2">
        <v>11.5</v>
      </c>
      <c r="C12" s="2">
        <v>11.1</v>
      </c>
      <c r="D12" s="8">
        <f t="shared" si="0"/>
        <v>11.3</v>
      </c>
    </row>
    <row r="13" spans="1:4" x14ac:dyDescent="0.35">
      <c r="A13" s="1" t="s">
        <v>55</v>
      </c>
      <c r="B13" s="2">
        <v>10.7</v>
      </c>
      <c r="C13" s="2">
        <v>10.3</v>
      </c>
      <c r="D13" s="8">
        <f t="shared" si="0"/>
        <v>10.5</v>
      </c>
    </row>
    <row r="14" spans="1:4" x14ac:dyDescent="0.35">
      <c r="A14" s="1" t="s">
        <v>56</v>
      </c>
      <c r="B14" s="2">
        <v>9.1</v>
      </c>
      <c r="C14" s="2">
        <v>8.8000000000000007</v>
      </c>
      <c r="D14" s="8">
        <f t="shared" si="0"/>
        <v>8.9499999999999993</v>
      </c>
    </row>
    <row r="15" spans="1:4" x14ac:dyDescent="0.35">
      <c r="A15" s="1" t="s">
        <v>57</v>
      </c>
      <c r="B15" s="2">
        <v>7.2</v>
      </c>
      <c r="C15" s="2">
        <v>6.9</v>
      </c>
      <c r="D15" s="8">
        <f t="shared" si="0"/>
        <v>7.0500000000000007</v>
      </c>
    </row>
    <row r="16" spans="1:4" x14ac:dyDescent="0.35">
      <c r="A16" s="1" t="s">
        <v>58</v>
      </c>
      <c r="B16" s="2">
        <v>5.5</v>
      </c>
      <c r="C16" s="2">
        <v>5.2</v>
      </c>
      <c r="D16" s="8">
        <f t="shared" si="0"/>
        <v>5.35</v>
      </c>
    </row>
    <row r="17" spans="1:4" x14ac:dyDescent="0.35">
      <c r="A17" s="1" t="s">
        <v>59</v>
      </c>
      <c r="B17" s="2">
        <v>3.1</v>
      </c>
      <c r="C17" s="2">
        <v>2.8</v>
      </c>
      <c r="D17" s="8">
        <f t="shared" si="0"/>
        <v>2.95</v>
      </c>
    </row>
    <row r="18" spans="1:4" x14ac:dyDescent="0.35">
      <c r="A18" s="1" t="s">
        <v>60</v>
      </c>
      <c r="B18" s="2">
        <v>1.9</v>
      </c>
      <c r="C18" s="2">
        <v>1.5</v>
      </c>
      <c r="D18" s="8">
        <f t="shared" si="0"/>
        <v>1.7</v>
      </c>
    </row>
    <row r="19" spans="1:4" x14ac:dyDescent="0.35">
      <c r="A19" s="1" t="s">
        <v>61</v>
      </c>
      <c r="B19" s="2">
        <v>0.9</v>
      </c>
      <c r="C19" s="2">
        <v>0.7</v>
      </c>
      <c r="D19" s="8">
        <f t="shared" si="0"/>
        <v>0.8</v>
      </c>
    </row>
    <row r="20" spans="1:4" x14ac:dyDescent="0.35">
      <c r="A20" s="1" t="s">
        <v>62</v>
      </c>
      <c r="B20" s="2">
        <v>0.7</v>
      </c>
      <c r="C20" s="2">
        <v>0.5</v>
      </c>
      <c r="D20" s="8">
        <f t="shared" si="0"/>
        <v>0.6</v>
      </c>
    </row>
    <row r="21" spans="1:4" x14ac:dyDescent="0.35">
      <c r="A21" s="1" t="s">
        <v>63</v>
      </c>
      <c r="B21" s="2">
        <v>1.6</v>
      </c>
      <c r="C21" s="2">
        <v>1.4</v>
      </c>
      <c r="D21" s="8">
        <f t="shared" si="0"/>
        <v>1.5</v>
      </c>
    </row>
    <row r="22" spans="1:4" x14ac:dyDescent="0.35">
      <c r="A22" s="1" t="s">
        <v>64</v>
      </c>
      <c r="B22" s="2">
        <v>3.2</v>
      </c>
      <c r="C22" s="2">
        <v>2.6</v>
      </c>
      <c r="D22" s="8">
        <f t="shared" si="0"/>
        <v>2.9000000000000004</v>
      </c>
    </row>
    <row r="23" spans="1:4" x14ac:dyDescent="0.35">
      <c r="A23" s="1" t="s">
        <v>65</v>
      </c>
      <c r="B23" s="2">
        <v>3.8</v>
      </c>
      <c r="C23" s="2">
        <v>3.5</v>
      </c>
      <c r="D23" s="8">
        <f t="shared" si="0"/>
        <v>3.65</v>
      </c>
    </row>
    <row r="24" spans="1:4" x14ac:dyDescent="0.35">
      <c r="A24" s="1" t="s">
        <v>66</v>
      </c>
      <c r="B24" s="2">
        <v>5.6</v>
      </c>
      <c r="C24" s="2">
        <v>5.0999999999999996</v>
      </c>
      <c r="D24" s="8">
        <f t="shared" si="0"/>
        <v>5.35</v>
      </c>
    </row>
    <row r="25" spans="1:4" x14ac:dyDescent="0.35">
      <c r="A25" s="1" t="s">
        <v>67</v>
      </c>
      <c r="B25" s="2">
        <v>6.8</v>
      </c>
      <c r="C25" s="2">
        <v>6.6</v>
      </c>
      <c r="D25" s="8">
        <f t="shared" si="0"/>
        <v>6.6999999999999993</v>
      </c>
    </row>
    <row r="26" spans="1:4" x14ac:dyDescent="0.35">
      <c r="A26" s="1" t="s">
        <v>68</v>
      </c>
      <c r="B26" s="2">
        <v>7.3</v>
      </c>
      <c r="C26" s="2">
        <v>7.1</v>
      </c>
      <c r="D26" s="8">
        <f t="shared" si="0"/>
        <v>7.1999999999999993</v>
      </c>
    </row>
    <row r="27" spans="1:4" x14ac:dyDescent="0.35">
      <c r="A27" s="1" t="s">
        <v>69</v>
      </c>
      <c r="B27" s="2">
        <v>8.6</v>
      </c>
      <c r="C27" s="2">
        <v>8.3000000000000007</v>
      </c>
      <c r="D27" s="8">
        <f t="shared" si="0"/>
        <v>8.4499999999999993</v>
      </c>
    </row>
    <row r="28" spans="1:4" x14ac:dyDescent="0.35">
      <c r="A28" s="1" t="s">
        <v>70</v>
      </c>
      <c r="B28" s="2">
        <v>9.8000000000000007</v>
      </c>
      <c r="C28" s="2">
        <v>9.5</v>
      </c>
      <c r="D28" s="8">
        <f t="shared" si="0"/>
        <v>9.65</v>
      </c>
    </row>
    <row r="29" spans="1:4" x14ac:dyDescent="0.35">
      <c r="A29" s="1" t="s">
        <v>47</v>
      </c>
      <c r="B29" s="2">
        <v>10</v>
      </c>
      <c r="C29" s="2">
        <v>9.8000000000000007</v>
      </c>
      <c r="D29" s="8">
        <f t="shared" si="0"/>
        <v>9.9</v>
      </c>
    </row>
    <row r="30" spans="1:4" x14ac:dyDescent="0.35">
      <c r="A30" s="1" t="s">
        <v>48</v>
      </c>
      <c r="B30" s="2">
        <v>10.4</v>
      </c>
      <c r="C30" s="2">
        <v>10.1</v>
      </c>
      <c r="D30" s="8">
        <f t="shared" si="0"/>
        <v>10.25</v>
      </c>
    </row>
    <row r="31" spans="1:4" x14ac:dyDescent="0.35">
      <c r="A31" s="1" t="s">
        <v>49</v>
      </c>
      <c r="B31" s="2">
        <v>10.7</v>
      </c>
      <c r="C31" s="2">
        <v>10.5</v>
      </c>
      <c r="D31" s="8">
        <f t="shared" si="0"/>
        <v>10.6</v>
      </c>
    </row>
    <row r="32" spans="1:4" x14ac:dyDescent="0.35">
      <c r="A32" s="1" t="s">
        <v>50</v>
      </c>
      <c r="B32" s="2">
        <v>11.1</v>
      </c>
      <c r="C32" s="2">
        <v>10.9</v>
      </c>
      <c r="D32" s="8">
        <f t="shared" si="0"/>
        <v>11</v>
      </c>
    </row>
    <row r="33" spans="1:4" x14ac:dyDescent="0.35">
      <c r="A33" s="1" t="s">
        <v>51</v>
      </c>
      <c r="B33" s="2">
        <v>11.8</v>
      </c>
      <c r="C33" s="2">
        <v>11.3</v>
      </c>
      <c r="D33" s="8">
        <f t="shared" si="0"/>
        <v>11.55</v>
      </c>
    </row>
    <row r="34" spans="1:4" x14ac:dyDescent="0.35">
      <c r="A34" s="1" t="s">
        <v>52</v>
      </c>
      <c r="B34" s="2">
        <v>12.1</v>
      </c>
      <c r="C34" s="2">
        <v>11.7</v>
      </c>
      <c r="D34" s="8">
        <f t="shared" si="0"/>
        <v>11.899999999999999</v>
      </c>
    </row>
    <row r="35" spans="1:4" x14ac:dyDescent="0.35">
      <c r="A35" s="1" t="s">
        <v>53</v>
      </c>
      <c r="B35" s="2">
        <v>11.4</v>
      </c>
      <c r="C35" s="2">
        <v>10.6</v>
      </c>
      <c r="D35" s="8">
        <f t="shared" si="0"/>
        <v>11</v>
      </c>
    </row>
    <row r="36" spans="1:4" x14ac:dyDescent="0.35">
      <c r="A36" s="1" t="s">
        <v>54</v>
      </c>
      <c r="B36" s="2">
        <v>10.9</v>
      </c>
      <c r="C36" s="2">
        <v>10.6</v>
      </c>
      <c r="D36" s="8">
        <f t="shared" si="0"/>
        <v>10.75</v>
      </c>
    </row>
    <row r="37" spans="1:4" x14ac:dyDescent="0.35">
      <c r="A37" s="1" t="s">
        <v>55</v>
      </c>
      <c r="B37" s="2">
        <v>10.5</v>
      </c>
      <c r="C37" s="2">
        <v>10.3</v>
      </c>
      <c r="D37" s="8">
        <f t="shared" si="0"/>
        <v>10.4</v>
      </c>
    </row>
    <row r="38" spans="1:4" x14ac:dyDescent="0.35">
      <c r="A38" s="1" t="s">
        <v>56</v>
      </c>
      <c r="B38" s="2">
        <v>9.9</v>
      </c>
      <c r="C38" s="2">
        <v>9.6999999999999993</v>
      </c>
      <c r="D38" s="8">
        <f t="shared" si="0"/>
        <v>9.8000000000000007</v>
      </c>
    </row>
    <row r="39" spans="1:4" x14ac:dyDescent="0.35">
      <c r="A39" s="1" t="s">
        <v>57</v>
      </c>
      <c r="B39" s="2">
        <v>8.5</v>
      </c>
      <c r="C39" s="2">
        <v>8.3000000000000007</v>
      </c>
      <c r="D39" s="8">
        <f t="shared" si="0"/>
        <v>8.4</v>
      </c>
    </row>
    <row r="40" spans="1:4" x14ac:dyDescent="0.35">
      <c r="A40" s="1" t="s">
        <v>58</v>
      </c>
      <c r="B40" s="2">
        <v>6.1</v>
      </c>
      <c r="C40" s="2">
        <v>5.9</v>
      </c>
      <c r="D40" s="8">
        <f t="shared" si="0"/>
        <v>6</v>
      </c>
    </row>
    <row r="41" spans="1:4" x14ac:dyDescent="0.35">
      <c r="A41" s="1" t="s">
        <v>59</v>
      </c>
      <c r="B41" s="2">
        <v>3.5</v>
      </c>
      <c r="C41" s="2">
        <v>3.3</v>
      </c>
      <c r="D41" s="8">
        <f t="shared" si="0"/>
        <v>3.4</v>
      </c>
    </row>
    <row r="42" spans="1:4" x14ac:dyDescent="0.35">
      <c r="A42" s="1" t="s">
        <v>60</v>
      </c>
      <c r="B42" s="2">
        <v>2.4</v>
      </c>
      <c r="C42" s="2">
        <v>1.8</v>
      </c>
      <c r="D42" s="8">
        <f t="shared" si="0"/>
        <v>2.1</v>
      </c>
    </row>
    <row r="43" spans="1:4" x14ac:dyDescent="0.35">
      <c r="B43" s="7" t="s">
        <v>71</v>
      </c>
      <c r="D43" s="6">
        <f>SUM(D4:D42)</f>
        <v>304.69999999999993</v>
      </c>
    </row>
    <row r="44" spans="1:4" x14ac:dyDescent="0.35">
      <c r="B44" s="7" t="s">
        <v>72</v>
      </c>
      <c r="D44" s="6">
        <f>AVERAGE(D4:D42)</f>
        <v>7.8128205128205108</v>
      </c>
    </row>
  </sheetData>
  <mergeCells count="1">
    <mergeCell ref="A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1DC3-BF2B-4684-B9F2-8E20C3654224}">
  <dimension ref="A1:K40"/>
  <sheetViews>
    <sheetView workbookViewId="0">
      <selection activeCell="D8" sqref="A1:XFD1048576"/>
    </sheetView>
  </sheetViews>
  <sheetFormatPr defaultRowHeight="14.5" x14ac:dyDescent="0.35"/>
  <sheetData>
    <row r="1" spans="1:11" x14ac:dyDescent="0.35">
      <c r="A1" s="9" t="s">
        <v>73</v>
      </c>
      <c r="E1" s="9" t="s">
        <v>74</v>
      </c>
      <c r="I1" s="9" t="s">
        <v>21</v>
      </c>
    </row>
    <row r="2" spans="1:11" x14ac:dyDescent="0.35">
      <c r="A2" s="3" t="s">
        <v>41</v>
      </c>
      <c r="B2" s="3" t="s">
        <v>75</v>
      </c>
      <c r="C2" s="3" t="s">
        <v>76</v>
      </c>
      <c r="D2" s="4"/>
      <c r="E2" s="3" t="s">
        <v>41</v>
      </c>
      <c r="F2" s="3" t="s">
        <v>2</v>
      </c>
      <c r="G2" s="3" t="s">
        <v>42</v>
      </c>
      <c r="H2" s="4"/>
      <c r="I2" s="3" t="s">
        <v>41</v>
      </c>
      <c r="J2" s="3" t="s">
        <v>2</v>
      </c>
      <c r="K2" s="3" t="s">
        <v>42</v>
      </c>
    </row>
    <row r="3" spans="1:11" x14ac:dyDescent="0.35">
      <c r="A3" s="10">
        <v>8</v>
      </c>
      <c r="B3" s="3">
        <v>1.1000000000000001</v>
      </c>
      <c r="C3" s="3">
        <v>33</v>
      </c>
      <c r="D3" s="4"/>
      <c r="E3" s="10">
        <v>8</v>
      </c>
      <c r="F3" s="3">
        <v>1.1000000000000001</v>
      </c>
      <c r="G3" s="3">
        <v>33.6</v>
      </c>
      <c r="H3" s="4"/>
      <c r="I3" s="10">
        <v>8</v>
      </c>
      <c r="J3" s="3">
        <v>1.1000000000000001</v>
      </c>
      <c r="K3" s="3">
        <v>6.19</v>
      </c>
    </row>
    <row r="4" spans="1:11" x14ac:dyDescent="0.35">
      <c r="A4" s="10">
        <v>8.1</v>
      </c>
      <c r="B4" s="3">
        <v>1.2</v>
      </c>
      <c r="C4" s="3">
        <v>32.5</v>
      </c>
      <c r="D4" s="4"/>
      <c r="E4" s="10">
        <v>8.1</v>
      </c>
      <c r="F4" s="3">
        <v>1.2</v>
      </c>
      <c r="G4" s="3">
        <v>34.200000000000003</v>
      </c>
      <c r="H4" s="4"/>
      <c r="I4" s="10">
        <v>8.1</v>
      </c>
      <c r="J4" s="3">
        <v>1.2</v>
      </c>
      <c r="K4" s="3">
        <v>4.67</v>
      </c>
    </row>
    <row r="5" spans="1:11" x14ac:dyDescent="0.35">
      <c r="A5" s="10">
        <v>8.1999999999999993</v>
      </c>
      <c r="B5" s="3">
        <v>1.3</v>
      </c>
      <c r="C5" s="3">
        <v>32.6</v>
      </c>
      <c r="D5" s="4"/>
      <c r="E5" s="10">
        <v>8.1999999999999993</v>
      </c>
      <c r="F5" s="3">
        <v>1.3</v>
      </c>
      <c r="G5" s="3">
        <v>34.799999999999997</v>
      </c>
      <c r="H5" s="4"/>
      <c r="I5" s="10">
        <v>8.1999999999999993</v>
      </c>
      <c r="J5" s="3">
        <v>1.3</v>
      </c>
      <c r="K5" s="3">
        <v>5.52</v>
      </c>
    </row>
    <row r="6" spans="1:11" x14ac:dyDescent="0.35">
      <c r="A6" s="10">
        <v>8.3000000000000007</v>
      </c>
      <c r="B6" s="3">
        <v>2.1</v>
      </c>
      <c r="C6" s="3">
        <v>30.2</v>
      </c>
      <c r="D6" s="4"/>
      <c r="E6" s="10">
        <v>8.3000000000000007</v>
      </c>
      <c r="F6" s="3">
        <v>2.1</v>
      </c>
      <c r="G6" s="3">
        <v>36</v>
      </c>
      <c r="H6" s="4"/>
      <c r="I6" s="10">
        <v>8.3000000000000007</v>
      </c>
      <c r="J6" s="3">
        <v>2.1</v>
      </c>
      <c r="K6" s="3">
        <v>4.59</v>
      </c>
    </row>
    <row r="7" spans="1:11" x14ac:dyDescent="0.35">
      <c r="A7" s="10">
        <v>8.4</v>
      </c>
      <c r="B7" s="3">
        <v>2.2000000000000002</v>
      </c>
      <c r="C7" s="3">
        <v>29.5</v>
      </c>
      <c r="D7" s="4"/>
      <c r="E7" s="10">
        <v>8.4</v>
      </c>
      <c r="F7" s="3">
        <v>2.2000000000000002</v>
      </c>
      <c r="G7" s="3">
        <v>32.5</v>
      </c>
      <c r="H7" s="4"/>
      <c r="I7" s="10">
        <v>8.4</v>
      </c>
      <c r="J7" s="3">
        <v>2.2000000000000002</v>
      </c>
      <c r="K7" s="3">
        <v>5.31</v>
      </c>
    </row>
    <row r="8" spans="1:11" x14ac:dyDescent="0.35">
      <c r="A8" s="10">
        <v>8.5</v>
      </c>
      <c r="B8" s="3">
        <v>2.2999999999999998</v>
      </c>
      <c r="C8" s="3">
        <v>30</v>
      </c>
      <c r="D8" s="4"/>
      <c r="E8" s="10">
        <v>8.5</v>
      </c>
      <c r="F8" s="3">
        <v>2.2999999999999998</v>
      </c>
      <c r="G8" s="3">
        <v>33.5</v>
      </c>
      <c r="H8" s="4"/>
      <c r="I8" s="10">
        <v>8.5</v>
      </c>
      <c r="J8" s="3">
        <v>2.2999999999999998</v>
      </c>
      <c r="K8" s="3">
        <v>4.76</v>
      </c>
    </row>
    <row r="9" spans="1:11" x14ac:dyDescent="0.35">
      <c r="A9" s="10">
        <v>9</v>
      </c>
      <c r="B9" s="3">
        <v>3.1</v>
      </c>
      <c r="C9" s="3">
        <v>30.5</v>
      </c>
      <c r="D9" s="4"/>
      <c r="E9" s="10">
        <v>9</v>
      </c>
      <c r="F9" s="3">
        <v>3.1</v>
      </c>
      <c r="G9" s="3">
        <v>36</v>
      </c>
      <c r="H9" s="4"/>
      <c r="I9" s="10">
        <v>9</v>
      </c>
      <c r="J9" s="3">
        <v>3.1</v>
      </c>
      <c r="K9" s="3">
        <v>5.61</v>
      </c>
    </row>
    <row r="10" spans="1:11" x14ac:dyDescent="0.35">
      <c r="A10" s="10">
        <v>9.1</v>
      </c>
      <c r="B10" s="3">
        <v>3.2</v>
      </c>
      <c r="C10" s="3">
        <v>29.3</v>
      </c>
      <c r="D10" s="4"/>
      <c r="E10" s="10">
        <v>9.1</v>
      </c>
      <c r="F10" s="3">
        <v>3.2</v>
      </c>
      <c r="G10" s="3">
        <v>33.6</v>
      </c>
      <c r="H10" s="4"/>
      <c r="I10" s="10">
        <v>9.1</v>
      </c>
      <c r="J10" s="3">
        <v>3.2</v>
      </c>
      <c r="K10" s="3">
        <v>5.71</v>
      </c>
    </row>
    <row r="11" spans="1:11" x14ac:dyDescent="0.35">
      <c r="A11" s="10">
        <v>9.1999999999999993</v>
      </c>
      <c r="B11" s="3">
        <v>3.3</v>
      </c>
      <c r="C11" s="3">
        <v>30.1</v>
      </c>
      <c r="D11" s="4"/>
      <c r="E11" s="10">
        <v>9.1999999999999993</v>
      </c>
      <c r="F11" s="3">
        <v>3.3</v>
      </c>
      <c r="G11" s="3">
        <v>34.200000000000003</v>
      </c>
      <c r="H11" s="4"/>
      <c r="I11" s="10">
        <v>9.1999999999999993</v>
      </c>
      <c r="J11" s="3">
        <v>3.3</v>
      </c>
      <c r="K11" s="3">
        <v>5.67</v>
      </c>
    </row>
    <row r="12" spans="1:11" x14ac:dyDescent="0.35">
      <c r="A12" s="10">
        <v>9.3000000000000007</v>
      </c>
      <c r="B12" s="3">
        <v>4.0999999999999996</v>
      </c>
      <c r="C12" s="3">
        <v>29.2</v>
      </c>
      <c r="D12" s="4"/>
      <c r="E12" s="10">
        <v>9.3000000000000007</v>
      </c>
      <c r="F12" s="3">
        <v>4.0999999999999996</v>
      </c>
      <c r="G12" s="3">
        <v>34.200000000000003</v>
      </c>
      <c r="H12" s="4"/>
      <c r="I12" s="10">
        <v>9.3000000000000007</v>
      </c>
      <c r="J12" s="3">
        <v>4.0999999999999996</v>
      </c>
      <c r="K12" s="3">
        <v>4.87</v>
      </c>
    </row>
    <row r="13" spans="1:11" x14ac:dyDescent="0.35">
      <c r="A13" s="10">
        <v>9.4</v>
      </c>
      <c r="B13" s="3">
        <v>4.2</v>
      </c>
      <c r="C13" s="3">
        <v>29.1</v>
      </c>
      <c r="D13" s="4"/>
      <c r="E13" s="10">
        <v>9.4</v>
      </c>
      <c r="F13" s="3">
        <v>4.2</v>
      </c>
      <c r="G13" s="3">
        <v>34.799999999999997</v>
      </c>
      <c r="H13" s="4"/>
      <c r="I13" s="10">
        <v>9.4</v>
      </c>
      <c r="J13" s="3">
        <v>4.2</v>
      </c>
      <c r="K13" s="3">
        <v>4.8899999999999997</v>
      </c>
    </row>
    <row r="14" spans="1:11" x14ac:dyDescent="0.35">
      <c r="A14" s="10">
        <v>9.5</v>
      </c>
      <c r="B14" s="3">
        <v>4.3</v>
      </c>
      <c r="C14" s="3">
        <v>28.3</v>
      </c>
      <c r="D14" s="4"/>
      <c r="E14" s="10">
        <v>9.5</v>
      </c>
      <c r="F14" s="3">
        <v>4.3</v>
      </c>
      <c r="G14" s="3">
        <v>33.1</v>
      </c>
      <c r="H14" s="4"/>
      <c r="I14" s="10">
        <v>9.5</v>
      </c>
      <c r="J14" s="3">
        <v>4.3</v>
      </c>
      <c r="K14" s="3">
        <v>6.11</v>
      </c>
    </row>
    <row r="15" spans="1:11" x14ac:dyDescent="0.35">
      <c r="A15" s="10">
        <v>10</v>
      </c>
      <c r="B15" s="3">
        <v>5.0999999999999996</v>
      </c>
      <c r="C15" s="3">
        <v>29.8</v>
      </c>
      <c r="D15" s="4"/>
      <c r="E15" s="10">
        <v>10</v>
      </c>
      <c r="F15" s="3">
        <v>5.0999999999999996</v>
      </c>
      <c r="G15" s="3">
        <v>33.6</v>
      </c>
      <c r="H15" s="4"/>
      <c r="I15" s="10">
        <v>10</v>
      </c>
      <c r="J15" s="3">
        <v>5.0999999999999996</v>
      </c>
      <c r="K15" s="3">
        <v>4.47</v>
      </c>
    </row>
    <row r="16" spans="1:11" x14ac:dyDescent="0.35">
      <c r="A16" s="10">
        <v>10.1</v>
      </c>
      <c r="B16" s="3">
        <v>5.2</v>
      </c>
      <c r="C16" s="3">
        <v>28.4</v>
      </c>
      <c r="D16" s="4"/>
      <c r="E16" s="10">
        <v>10.1</v>
      </c>
      <c r="F16" s="3">
        <v>5.2</v>
      </c>
      <c r="G16" s="3">
        <v>34.799999999999997</v>
      </c>
      <c r="H16" s="4"/>
      <c r="I16" s="10">
        <v>10.1</v>
      </c>
      <c r="J16" s="3">
        <v>5.2</v>
      </c>
      <c r="K16" s="3">
        <v>5.34</v>
      </c>
    </row>
    <row r="17" spans="1:11" x14ac:dyDescent="0.35">
      <c r="A17" s="10">
        <v>10.199999999999999</v>
      </c>
      <c r="B17" s="3">
        <v>5.3</v>
      </c>
      <c r="C17" s="3">
        <v>28.6</v>
      </c>
      <c r="D17" s="4"/>
      <c r="E17" s="10">
        <v>10.199999999999999</v>
      </c>
      <c r="F17" s="3">
        <v>5.3</v>
      </c>
      <c r="G17" s="3">
        <v>33.6</v>
      </c>
      <c r="H17" s="4"/>
      <c r="I17" s="10">
        <v>10.199999999999999</v>
      </c>
      <c r="J17" s="3">
        <v>5.3</v>
      </c>
      <c r="K17" s="3">
        <v>5.05</v>
      </c>
    </row>
    <row r="18" spans="1:11" x14ac:dyDescent="0.35">
      <c r="A18" s="10">
        <v>10.3</v>
      </c>
      <c r="B18" s="3">
        <v>6.1</v>
      </c>
      <c r="C18" s="3">
        <v>27.8</v>
      </c>
      <c r="D18" s="4"/>
      <c r="E18" s="10">
        <v>10.3</v>
      </c>
      <c r="F18" s="3">
        <v>6.1</v>
      </c>
      <c r="G18" s="3">
        <v>34.299999999999997</v>
      </c>
      <c r="H18" s="4"/>
      <c r="I18" s="10">
        <v>10.3</v>
      </c>
      <c r="J18" s="3">
        <v>6.1</v>
      </c>
      <c r="K18" s="3">
        <v>2.92</v>
      </c>
    </row>
    <row r="19" spans="1:11" x14ac:dyDescent="0.35">
      <c r="A19" s="10">
        <v>10.4</v>
      </c>
      <c r="B19" s="3">
        <v>6.2</v>
      </c>
      <c r="C19" s="3">
        <v>28.4</v>
      </c>
      <c r="D19" s="4"/>
      <c r="E19" s="10">
        <v>10.4</v>
      </c>
      <c r="F19" s="3">
        <v>6.2</v>
      </c>
      <c r="G19" s="3">
        <v>34.200000000000003</v>
      </c>
      <c r="H19" s="4"/>
      <c r="I19" s="10">
        <v>10.4</v>
      </c>
      <c r="J19" s="3">
        <v>6.2</v>
      </c>
      <c r="K19" s="3">
        <v>3.76</v>
      </c>
    </row>
    <row r="20" spans="1:11" x14ac:dyDescent="0.35">
      <c r="A20" s="10">
        <v>10.5</v>
      </c>
      <c r="B20" s="3">
        <v>6.3</v>
      </c>
      <c r="C20" s="3">
        <v>28</v>
      </c>
      <c r="D20" s="4"/>
      <c r="E20" s="10">
        <v>10.5</v>
      </c>
      <c r="F20" s="3">
        <v>6.3</v>
      </c>
      <c r="G20" s="3">
        <v>33.1</v>
      </c>
      <c r="H20" s="4"/>
      <c r="I20" s="10">
        <v>10.5</v>
      </c>
      <c r="J20" s="3">
        <v>6.3</v>
      </c>
      <c r="K20" s="3">
        <v>3.05</v>
      </c>
    </row>
    <row r="21" spans="1:1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5">
      <c r="A22" s="3" t="s">
        <v>41</v>
      </c>
      <c r="B22" s="3" t="s">
        <v>75</v>
      </c>
      <c r="C22" s="3" t="s">
        <v>77</v>
      </c>
      <c r="D22" s="4"/>
      <c r="E22" s="3" t="s">
        <v>41</v>
      </c>
      <c r="F22" s="3" t="s">
        <v>75</v>
      </c>
      <c r="G22" s="3" t="s">
        <v>77</v>
      </c>
      <c r="H22" s="4"/>
      <c r="I22" s="3" t="s">
        <v>41</v>
      </c>
      <c r="J22" s="3" t="s">
        <v>75</v>
      </c>
      <c r="K22" s="3" t="s">
        <v>77</v>
      </c>
    </row>
    <row r="23" spans="1:11" x14ac:dyDescent="0.35">
      <c r="A23" s="10">
        <v>15.3</v>
      </c>
      <c r="B23" s="3">
        <v>1.1000000000000001</v>
      </c>
      <c r="C23" s="3">
        <v>27.4</v>
      </c>
      <c r="D23" s="4"/>
      <c r="E23" s="10">
        <v>15.3</v>
      </c>
      <c r="F23" s="3">
        <v>1.1000000000000001</v>
      </c>
      <c r="G23" s="3">
        <v>32</v>
      </c>
      <c r="H23" s="4"/>
      <c r="I23" s="10">
        <v>15.3</v>
      </c>
      <c r="J23" s="3">
        <v>1.1000000000000001</v>
      </c>
      <c r="K23" s="3">
        <v>4.6100000000000003</v>
      </c>
    </row>
    <row r="24" spans="1:11" x14ac:dyDescent="0.35">
      <c r="A24" s="10">
        <v>15.4</v>
      </c>
      <c r="B24" s="3">
        <v>1.2</v>
      </c>
      <c r="C24" s="3">
        <v>27.6</v>
      </c>
      <c r="D24" s="4"/>
      <c r="E24" s="10">
        <v>15.4</v>
      </c>
      <c r="F24" s="3">
        <v>1.2</v>
      </c>
      <c r="G24" s="3">
        <v>33.1</v>
      </c>
      <c r="H24" s="4"/>
      <c r="I24" s="10">
        <v>15.4</v>
      </c>
      <c r="J24" s="3">
        <v>1.2</v>
      </c>
      <c r="K24" s="3">
        <v>5.7</v>
      </c>
    </row>
    <row r="25" spans="1:11" x14ac:dyDescent="0.35">
      <c r="A25" s="10">
        <v>15.5</v>
      </c>
      <c r="B25" s="3">
        <v>1.3</v>
      </c>
      <c r="C25" s="3">
        <v>28.3</v>
      </c>
      <c r="D25" s="4"/>
      <c r="E25" s="10">
        <v>15.5</v>
      </c>
      <c r="F25" s="3">
        <v>1.3</v>
      </c>
      <c r="G25" s="3">
        <v>33.1</v>
      </c>
      <c r="H25" s="4"/>
      <c r="I25" s="10">
        <v>15.5</v>
      </c>
      <c r="J25" s="3">
        <v>1.3</v>
      </c>
      <c r="K25" s="3">
        <v>4.54</v>
      </c>
    </row>
    <row r="26" spans="1:11" x14ac:dyDescent="0.35">
      <c r="A26" s="10">
        <v>16</v>
      </c>
      <c r="B26" s="3">
        <v>2.1</v>
      </c>
      <c r="C26" s="3">
        <v>28</v>
      </c>
      <c r="D26" s="4"/>
      <c r="E26" s="10">
        <v>16</v>
      </c>
      <c r="F26" s="3">
        <v>2.1</v>
      </c>
      <c r="G26" s="3">
        <v>32</v>
      </c>
      <c r="H26" s="4"/>
      <c r="I26" s="10">
        <v>16</v>
      </c>
      <c r="J26" s="3">
        <v>2.1</v>
      </c>
      <c r="K26" s="3">
        <v>4.87</v>
      </c>
    </row>
    <row r="27" spans="1:11" x14ac:dyDescent="0.35">
      <c r="A27" s="10">
        <v>16.100000000000001</v>
      </c>
      <c r="B27" s="3">
        <v>2.2000000000000002</v>
      </c>
      <c r="C27" s="3">
        <v>27.7</v>
      </c>
      <c r="D27" s="4"/>
      <c r="E27" s="10">
        <v>16.100000000000001</v>
      </c>
      <c r="F27" s="3">
        <v>2.2000000000000002</v>
      </c>
      <c r="G27" s="3">
        <v>30.3</v>
      </c>
      <c r="H27" s="4"/>
      <c r="I27" s="10">
        <v>16.100000000000001</v>
      </c>
      <c r="J27" s="3">
        <v>2.2000000000000002</v>
      </c>
      <c r="K27" s="3">
        <v>4.53</v>
      </c>
    </row>
    <row r="28" spans="1:11" x14ac:dyDescent="0.35">
      <c r="A28" s="10">
        <v>16.2</v>
      </c>
      <c r="B28" s="3">
        <v>2.2999999999999998</v>
      </c>
      <c r="C28" s="3">
        <v>27.7</v>
      </c>
      <c r="D28" s="4"/>
      <c r="E28" s="10">
        <v>16.2</v>
      </c>
      <c r="F28" s="3">
        <v>2.2999999999999998</v>
      </c>
      <c r="G28" s="3">
        <v>32.5</v>
      </c>
      <c r="H28" s="4"/>
      <c r="I28" s="10">
        <v>16.2</v>
      </c>
      <c r="J28" s="3">
        <v>2.2999999999999998</v>
      </c>
      <c r="K28" s="3">
        <v>4.8</v>
      </c>
    </row>
    <row r="29" spans="1:11" x14ac:dyDescent="0.35">
      <c r="A29" s="10">
        <v>16.3</v>
      </c>
      <c r="B29" s="3">
        <v>3.1</v>
      </c>
      <c r="C29" s="3">
        <v>27.8</v>
      </c>
      <c r="D29" s="4"/>
      <c r="E29" s="10">
        <v>16.3</v>
      </c>
      <c r="F29" s="3">
        <v>3.1</v>
      </c>
      <c r="G29" s="3">
        <v>33.6</v>
      </c>
      <c r="H29" s="4"/>
      <c r="I29" s="10">
        <v>16.3</v>
      </c>
      <c r="J29" s="3">
        <v>3.1</v>
      </c>
      <c r="K29" s="3">
        <v>5.19</v>
      </c>
    </row>
    <row r="30" spans="1:11" x14ac:dyDescent="0.35">
      <c r="A30" s="10">
        <v>16.399999999999999</v>
      </c>
      <c r="B30" s="3">
        <v>3.2</v>
      </c>
      <c r="C30" s="3">
        <v>27.5</v>
      </c>
      <c r="D30" s="4"/>
      <c r="E30" s="10">
        <v>16.399999999999999</v>
      </c>
      <c r="F30" s="3">
        <v>3.2</v>
      </c>
      <c r="G30" s="3">
        <v>32.5</v>
      </c>
      <c r="H30" s="4"/>
      <c r="I30" s="10">
        <v>16.399999999999999</v>
      </c>
      <c r="J30" s="3">
        <v>3.2</v>
      </c>
      <c r="K30" s="3">
        <v>4.8</v>
      </c>
    </row>
    <row r="31" spans="1:11" x14ac:dyDescent="0.35">
      <c r="A31" s="10">
        <v>16.5</v>
      </c>
      <c r="B31" s="3">
        <v>3.3</v>
      </c>
      <c r="C31" s="3">
        <v>27.7</v>
      </c>
      <c r="D31" s="4"/>
      <c r="E31" s="10">
        <v>16.5</v>
      </c>
      <c r="F31" s="3">
        <v>3.3</v>
      </c>
      <c r="G31" s="3">
        <v>32.5</v>
      </c>
      <c r="H31" s="4"/>
      <c r="I31" s="10">
        <v>16.5</v>
      </c>
      <c r="J31" s="3">
        <v>3.3</v>
      </c>
      <c r="K31" s="3">
        <v>4.32</v>
      </c>
    </row>
    <row r="32" spans="1:11" x14ac:dyDescent="0.35">
      <c r="A32" s="10">
        <v>17</v>
      </c>
      <c r="B32" s="3">
        <v>4.0999999999999996</v>
      </c>
      <c r="C32" s="3">
        <v>28</v>
      </c>
      <c r="D32" s="4"/>
      <c r="E32" s="10">
        <v>17</v>
      </c>
      <c r="F32" s="3">
        <v>4.0999999999999996</v>
      </c>
      <c r="G32" s="3">
        <v>34.799999999999997</v>
      </c>
      <c r="H32" s="4"/>
      <c r="I32" s="10">
        <v>17</v>
      </c>
      <c r="J32" s="3">
        <v>4.0999999999999996</v>
      </c>
      <c r="K32" s="3">
        <v>5.59</v>
      </c>
    </row>
    <row r="33" spans="1:11" x14ac:dyDescent="0.35">
      <c r="A33" s="10">
        <v>17.100000000000001</v>
      </c>
      <c r="B33" s="3">
        <v>4.2</v>
      </c>
      <c r="C33" s="3">
        <v>28.1</v>
      </c>
      <c r="D33" s="4"/>
      <c r="E33" s="10">
        <v>17.100000000000001</v>
      </c>
      <c r="F33" s="3">
        <v>4.2</v>
      </c>
      <c r="G33" s="3">
        <v>36</v>
      </c>
      <c r="H33" s="4"/>
      <c r="I33" s="10">
        <v>17.100000000000001</v>
      </c>
      <c r="J33" s="3">
        <v>4.2</v>
      </c>
      <c r="K33" s="3">
        <v>4.3899999999999997</v>
      </c>
    </row>
    <row r="34" spans="1:11" x14ac:dyDescent="0.35">
      <c r="A34" s="10">
        <v>17.2</v>
      </c>
      <c r="B34" s="3">
        <v>4.3</v>
      </c>
      <c r="C34" s="3">
        <v>28.1</v>
      </c>
      <c r="D34" s="4"/>
      <c r="E34" s="10">
        <v>17.2</v>
      </c>
      <c r="F34" s="3">
        <v>4.3</v>
      </c>
      <c r="G34" s="3">
        <v>33.6</v>
      </c>
      <c r="H34" s="4"/>
      <c r="I34" s="10">
        <v>17.2</v>
      </c>
      <c r="J34" s="3">
        <v>4.3</v>
      </c>
      <c r="K34" s="3">
        <v>4.43</v>
      </c>
    </row>
    <row r="35" spans="1:11" x14ac:dyDescent="0.35">
      <c r="A35" s="10">
        <v>17.3</v>
      </c>
      <c r="B35" s="3">
        <v>5.0999999999999996</v>
      </c>
      <c r="C35" s="3">
        <v>28.5</v>
      </c>
      <c r="D35" s="4"/>
      <c r="E35" s="10">
        <v>17.3</v>
      </c>
      <c r="F35" s="3">
        <v>5.0999999999999996</v>
      </c>
      <c r="G35" s="3">
        <v>33.6</v>
      </c>
      <c r="H35" s="4"/>
      <c r="I35" s="10">
        <v>17.3</v>
      </c>
      <c r="J35" s="3">
        <v>5.0999999999999996</v>
      </c>
      <c r="K35" s="3">
        <v>5.38</v>
      </c>
    </row>
    <row r="36" spans="1:11" x14ac:dyDescent="0.35">
      <c r="A36" s="10">
        <v>17.399999999999999</v>
      </c>
      <c r="B36" s="3">
        <v>5.2</v>
      </c>
      <c r="C36" s="3">
        <v>28.3</v>
      </c>
      <c r="D36" s="4"/>
      <c r="E36" s="10">
        <v>17.399999999999999</v>
      </c>
      <c r="F36" s="3">
        <v>5.2</v>
      </c>
      <c r="G36" s="3">
        <v>34.799999999999997</v>
      </c>
      <c r="H36" s="4"/>
      <c r="I36" s="10">
        <v>17.399999999999999</v>
      </c>
      <c r="J36" s="3">
        <v>5.2</v>
      </c>
      <c r="K36" s="3">
        <v>3.8</v>
      </c>
    </row>
    <row r="37" spans="1:11" x14ac:dyDescent="0.35">
      <c r="A37" s="10">
        <v>17.5</v>
      </c>
      <c r="B37" s="3">
        <v>5.3</v>
      </c>
      <c r="C37" s="3">
        <v>28</v>
      </c>
      <c r="D37" s="4"/>
      <c r="E37" s="10">
        <v>17.5</v>
      </c>
      <c r="F37" s="3">
        <v>5.3</v>
      </c>
      <c r="G37" s="3">
        <v>34.200000000000003</v>
      </c>
      <c r="H37" s="4"/>
      <c r="I37" s="10">
        <v>17.5</v>
      </c>
      <c r="J37" s="3">
        <v>5.3</v>
      </c>
      <c r="K37" s="3">
        <v>5.49</v>
      </c>
    </row>
    <row r="38" spans="1:11" x14ac:dyDescent="0.35">
      <c r="A38" s="10">
        <v>18</v>
      </c>
      <c r="B38" s="3">
        <v>6.1</v>
      </c>
      <c r="C38" s="3">
        <v>28</v>
      </c>
      <c r="D38" s="4"/>
      <c r="E38" s="10">
        <v>18</v>
      </c>
      <c r="F38" s="3">
        <v>6.1</v>
      </c>
      <c r="G38" s="3">
        <v>33.1</v>
      </c>
      <c r="H38" s="4"/>
      <c r="I38" s="10">
        <v>18</v>
      </c>
      <c r="J38" s="3">
        <v>6.1</v>
      </c>
      <c r="K38" s="3">
        <v>5.25</v>
      </c>
    </row>
    <row r="39" spans="1:11" x14ac:dyDescent="0.35">
      <c r="A39" s="10">
        <v>18.100000000000001</v>
      </c>
      <c r="B39" s="3">
        <v>6.2</v>
      </c>
      <c r="C39" s="3">
        <v>28.5</v>
      </c>
      <c r="D39" s="4"/>
      <c r="E39" s="10">
        <v>18.100000000000001</v>
      </c>
      <c r="F39" s="3">
        <v>6.2</v>
      </c>
      <c r="G39" s="3">
        <v>34.200000000000003</v>
      </c>
      <c r="H39" s="4"/>
      <c r="I39" s="10">
        <v>18.100000000000001</v>
      </c>
      <c r="J39" s="3">
        <v>6.2</v>
      </c>
      <c r="K39" s="3">
        <v>5.23</v>
      </c>
    </row>
    <row r="40" spans="1:11" x14ac:dyDescent="0.35">
      <c r="A40" s="10">
        <v>18.2</v>
      </c>
      <c r="B40" s="3">
        <v>6.3</v>
      </c>
      <c r="C40" s="3">
        <v>28.2</v>
      </c>
      <c r="D40" s="4"/>
      <c r="E40" s="10">
        <v>18.2</v>
      </c>
      <c r="F40" s="3">
        <v>6.3</v>
      </c>
      <c r="G40" s="3">
        <v>33.1</v>
      </c>
      <c r="H40" s="4"/>
      <c r="I40" s="10">
        <v>18.2</v>
      </c>
      <c r="J40" s="3">
        <v>6.3</v>
      </c>
      <c r="K40" s="3">
        <v>4.87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617E-BE8E-47E4-BC2E-D08DDB4EEBBF}">
  <dimension ref="A1:AQ46"/>
  <sheetViews>
    <sheetView zoomScale="70" zoomScaleNormal="70" workbookViewId="0">
      <selection activeCell="E41" sqref="E41"/>
    </sheetView>
  </sheetViews>
  <sheetFormatPr defaultRowHeight="14.5" x14ac:dyDescent="0.35"/>
  <sheetData>
    <row r="1" spans="1:32" x14ac:dyDescent="0.35">
      <c r="A1" s="13" t="s">
        <v>22</v>
      </c>
      <c r="B1" s="13"/>
      <c r="C1" s="13"/>
      <c r="R1" s="13" t="s">
        <v>23</v>
      </c>
      <c r="S1" s="13"/>
    </row>
    <row r="2" spans="1:32" x14ac:dyDescent="0.35">
      <c r="A2" s="1" t="s">
        <v>2</v>
      </c>
      <c r="B2" s="1" t="s">
        <v>22</v>
      </c>
      <c r="C2" s="1" t="s">
        <v>24</v>
      </c>
      <c r="P2" s="1">
        <v>33.6</v>
      </c>
      <c r="Q2" s="1">
        <v>6.19</v>
      </c>
      <c r="R2" s="1">
        <v>33.6</v>
      </c>
      <c r="S2" s="2">
        <v>9.4</v>
      </c>
      <c r="AE2" s="1">
        <v>6.19</v>
      </c>
      <c r="AF2" s="2">
        <v>9.4</v>
      </c>
    </row>
    <row r="3" spans="1:32" x14ac:dyDescent="0.35">
      <c r="A3" s="3" t="s">
        <v>3</v>
      </c>
      <c r="B3" s="3">
        <v>33</v>
      </c>
      <c r="C3" s="2">
        <v>9.4</v>
      </c>
      <c r="E3" s="5"/>
      <c r="P3" s="1">
        <v>36</v>
      </c>
      <c r="Q3" s="1">
        <v>4.59</v>
      </c>
      <c r="R3" s="1">
        <v>36</v>
      </c>
      <c r="S3" s="2">
        <v>9.8000000000000007</v>
      </c>
      <c r="AE3" s="1">
        <v>4.59</v>
      </c>
      <c r="AF3" s="2">
        <v>9.8000000000000007</v>
      </c>
    </row>
    <row r="4" spans="1:32" x14ac:dyDescent="0.35">
      <c r="A4" s="3" t="s">
        <v>4</v>
      </c>
      <c r="B4" s="3">
        <v>30.2</v>
      </c>
      <c r="C4" s="2">
        <v>9.8000000000000007</v>
      </c>
      <c r="E4" s="5"/>
      <c r="P4" s="1">
        <v>36</v>
      </c>
      <c r="Q4" s="1">
        <v>5.61</v>
      </c>
      <c r="R4" s="1">
        <v>36</v>
      </c>
      <c r="S4" s="2">
        <v>10.1</v>
      </c>
      <c r="AE4" s="1">
        <v>5.61</v>
      </c>
      <c r="AF4" s="2">
        <v>10.1</v>
      </c>
    </row>
    <row r="5" spans="1:32" x14ac:dyDescent="0.35">
      <c r="A5" s="3" t="s">
        <v>5</v>
      </c>
      <c r="B5" s="3">
        <v>30.5</v>
      </c>
      <c r="C5" s="2">
        <v>10.1</v>
      </c>
      <c r="E5" s="5"/>
      <c r="P5" s="1">
        <v>34.200000000000003</v>
      </c>
      <c r="Q5" s="1">
        <v>4.87</v>
      </c>
      <c r="R5" s="1">
        <v>34.200000000000003</v>
      </c>
      <c r="S5" s="2">
        <v>10.5</v>
      </c>
      <c r="AE5" s="1">
        <v>4.87</v>
      </c>
      <c r="AF5" s="2">
        <v>10.5</v>
      </c>
    </row>
    <row r="6" spans="1:32" x14ac:dyDescent="0.35">
      <c r="A6" s="3" t="s">
        <v>6</v>
      </c>
      <c r="B6" s="3">
        <v>29.2</v>
      </c>
      <c r="C6" s="2">
        <v>10.5</v>
      </c>
      <c r="E6" s="5"/>
      <c r="P6" s="1">
        <v>33.6</v>
      </c>
      <c r="Q6" s="1">
        <v>4.47</v>
      </c>
      <c r="R6" s="1">
        <v>33.6</v>
      </c>
      <c r="S6" s="2">
        <v>10.7</v>
      </c>
      <c r="AE6" s="1">
        <v>4.47</v>
      </c>
      <c r="AF6" s="2">
        <v>10.7</v>
      </c>
    </row>
    <row r="7" spans="1:32" x14ac:dyDescent="0.35">
      <c r="A7" s="3" t="s">
        <v>7</v>
      </c>
      <c r="B7" s="3">
        <v>29.8</v>
      </c>
      <c r="C7" s="2">
        <v>10.7</v>
      </c>
      <c r="E7" s="5"/>
      <c r="P7" s="1">
        <v>34.299999999999997</v>
      </c>
      <c r="Q7" s="1">
        <v>2.92</v>
      </c>
      <c r="R7" s="1">
        <v>34.299999999999997</v>
      </c>
      <c r="S7" s="2">
        <v>11</v>
      </c>
      <c r="AE7" s="1">
        <v>2.92</v>
      </c>
      <c r="AF7" s="2">
        <v>11</v>
      </c>
    </row>
    <row r="8" spans="1:32" x14ac:dyDescent="0.35">
      <c r="A8" s="3" t="s">
        <v>8</v>
      </c>
      <c r="B8" s="3">
        <v>27.8</v>
      </c>
      <c r="C8" s="2">
        <v>11</v>
      </c>
      <c r="E8" s="5"/>
      <c r="P8" s="1">
        <v>34.200000000000003</v>
      </c>
      <c r="Q8" s="1">
        <v>4.67</v>
      </c>
      <c r="R8" s="1">
        <v>34.200000000000003</v>
      </c>
      <c r="S8" s="2">
        <v>11.6</v>
      </c>
      <c r="AE8" s="1">
        <v>4.67</v>
      </c>
      <c r="AF8" s="2">
        <v>11.6</v>
      </c>
    </row>
    <row r="9" spans="1:32" x14ac:dyDescent="0.35">
      <c r="A9" s="3" t="s">
        <v>9</v>
      </c>
      <c r="B9" s="3">
        <v>32.5</v>
      </c>
      <c r="C9" s="2">
        <v>11.6</v>
      </c>
      <c r="E9" s="5"/>
      <c r="P9" s="1">
        <v>32.5</v>
      </c>
      <c r="Q9" s="1">
        <v>5.31</v>
      </c>
      <c r="R9" s="1">
        <v>32.5</v>
      </c>
      <c r="S9" s="2">
        <v>12.5</v>
      </c>
      <c r="AE9" s="1">
        <v>5.31</v>
      </c>
      <c r="AF9" s="2">
        <v>12.5</v>
      </c>
    </row>
    <row r="10" spans="1:32" x14ac:dyDescent="0.35">
      <c r="A10" s="3" t="s">
        <v>10</v>
      </c>
      <c r="B10" s="3">
        <v>29.5</v>
      </c>
      <c r="C10" s="2">
        <v>12.5</v>
      </c>
      <c r="E10" s="5"/>
      <c r="P10" s="1">
        <v>33.6</v>
      </c>
      <c r="Q10" s="1">
        <v>5.71</v>
      </c>
      <c r="R10" s="1">
        <v>33.6</v>
      </c>
      <c r="S10" s="2">
        <v>11.5</v>
      </c>
      <c r="AE10" s="1">
        <v>5.71</v>
      </c>
      <c r="AF10" s="2">
        <v>11.5</v>
      </c>
    </row>
    <row r="11" spans="1:32" x14ac:dyDescent="0.35">
      <c r="A11" s="3" t="s">
        <v>11</v>
      </c>
      <c r="B11" s="3">
        <v>29.3</v>
      </c>
      <c r="C11" s="2">
        <v>11.5</v>
      </c>
      <c r="E11" s="5"/>
      <c r="P11" s="1">
        <v>34.799999999999997</v>
      </c>
      <c r="Q11" s="1">
        <v>4.8899999999999997</v>
      </c>
      <c r="R11" s="1">
        <v>34.799999999999997</v>
      </c>
      <c r="S11" s="2">
        <v>10.7</v>
      </c>
      <c r="AE11" s="1">
        <v>4.8899999999999997</v>
      </c>
      <c r="AF11" s="2">
        <v>10.7</v>
      </c>
    </row>
    <row r="12" spans="1:32" x14ac:dyDescent="0.35">
      <c r="A12" s="3" t="s">
        <v>12</v>
      </c>
      <c r="B12" s="3">
        <v>29.1</v>
      </c>
      <c r="C12" s="2">
        <v>10.7</v>
      </c>
      <c r="E12" s="5"/>
      <c r="P12" s="1">
        <v>34.799999999999997</v>
      </c>
      <c r="Q12" s="1">
        <v>5.34</v>
      </c>
      <c r="R12" s="1">
        <v>34.799999999999997</v>
      </c>
      <c r="S12" s="2">
        <v>9.1</v>
      </c>
      <c r="AE12" s="1">
        <v>5.34</v>
      </c>
      <c r="AF12" s="2">
        <v>9.1</v>
      </c>
    </row>
    <row r="13" spans="1:32" x14ac:dyDescent="0.35">
      <c r="A13" s="3" t="s">
        <v>13</v>
      </c>
      <c r="B13" s="3">
        <v>28.4</v>
      </c>
      <c r="C13" s="2">
        <v>9.1</v>
      </c>
      <c r="E13" s="5"/>
      <c r="P13" s="1">
        <v>34.200000000000003</v>
      </c>
      <c r="Q13" s="1">
        <v>3.76</v>
      </c>
      <c r="R13" s="1">
        <v>34.200000000000003</v>
      </c>
      <c r="S13" s="2">
        <v>7.2</v>
      </c>
      <c r="AE13" s="1">
        <v>3.76</v>
      </c>
      <c r="AF13" s="2">
        <v>7.2</v>
      </c>
    </row>
    <row r="14" spans="1:32" x14ac:dyDescent="0.35">
      <c r="A14" s="3" t="s">
        <v>14</v>
      </c>
      <c r="B14" s="3">
        <v>28.4</v>
      </c>
      <c r="C14" s="2">
        <v>7.2</v>
      </c>
      <c r="E14" s="5"/>
      <c r="P14" s="1">
        <v>34.799999999999997</v>
      </c>
      <c r="Q14" s="1">
        <v>5.52</v>
      </c>
      <c r="R14" s="1">
        <v>34.799999999999997</v>
      </c>
      <c r="S14" s="2">
        <v>5.5</v>
      </c>
      <c r="AE14" s="1">
        <v>5.52</v>
      </c>
      <c r="AF14" s="2">
        <v>5.5</v>
      </c>
    </row>
    <row r="15" spans="1:32" x14ac:dyDescent="0.35">
      <c r="A15" s="3" t="s">
        <v>15</v>
      </c>
      <c r="B15" s="3">
        <v>32.6</v>
      </c>
      <c r="C15" s="2">
        <v>5.5</v>
      </c>
      <c r="E15" s="5"/>
      <c r="P15" s="1">
        <v>33.5</v>
      </c>
      <c r="Q15" s="1">
        <v>4.76</v>
      </c>
      <c r="R15" s="1">
        <v>33.5</v>
      </c>
      <c r="S15" s="2">
        <v>3.1</v>
      </c>
      <c r="AE15" s="1">
        <v>4.76</v>
      </c>
      <c r="AF15" s="2">
        <v>3.1</v>
      </c>
    </row>
    <row r="16" spans="1:32" x14ac:dyDescent="0.35">
      <c r="A16" s="3" t="s">
        <v>16</v>
      </c>
      <c r="B16" s="3">
        <v>30</v>
      </c>
      <c r="C16" s="2">
        <v>3.1</v>
      </c>
      <c r="E16" s="5"/>
      <c r="P16" s="1">
        <v>34.200000000000003</v>
      </c>
      <c r="Q16" s="1">
        <v>5.67</v>
      </c>
      <c r="R16" s="1">
        <v>34.200000000000003</v>
      </c>
      <c r="S16" s="2">
        <v>1.9</v>
      </c>
      <c r="AE16" s="1">
        <v>5.67</v>
      </c>
      <c r="AF16" s="2">
        <v>1.9</v>
      </c>
    </row>
    <row r="17" spans="1:43" x14ac:dyDescent="0.35">
      <c r="A17" s="3" t="s">
        <v>17</v>
      </c>
      <c r="B17" s="3">
        <v>30.1</v>
      </c>
      <c r="C17" s="2">
        <v>1.9</v>
      </c>
      <c r="E17" s="5"/>
      <c r="P17" s="1">
        <v>33.1</v>
      </c>
      <c r="Q17" s="1">
        <v>6.11</v>
      </c>
      <c r="R17" s="1">
        <v>33.1</v>
      </c>
      <c r="S17" s="2">
        <v>0.9</v>
      </c>
      <c r="AE17" s="1">
        <v>6.11</v>
      </c>
      <c r="AF17" s="2">
        <v>0.9</v>
      </c>
    </row>
    <row r="18" spans="1:43" x14ac:dyDescent="0.35">
      <c r="A18" s="3" t="s">
        <v>18</v>
      </c>
      <c r="B18" s="3">
        <v>28.3</v>
      </c>
      <c r="C18" s="2">
        <v>0.9</v>
      </c>
      <c r="E18" s="5"/>
      <c r="P18" s="1">
        <v>33.6</v>
      </c>
      <c r="Q18" s="1">
        <v>5.05</v>
      </c>
      <c r="R18" s="1">
        <v>33.6</v>
      </c>
      <c r="S18" s="2">
        <v>0.7</v>
      </c>
      <c r="AE18" s="1">
        <v>5.05</v>
      </c>
      <c r="AF18" s="2">
        <v>0.7</v>
      </c>
    </row>
    <row r="19" spans="1:43" x14ac:dyDescent="0.35">
      <c r="A19" s="3" t="s">
        <v>19</v>
      </c>
      <c r="B19" s="3">
        <v>28.6</v>
      </c>
      <c r="C19" s="2">
        <v>0.7</v>
      </c>
      <c r="E19" s="5"/>
      <c r="P19" s="1">
        <v>33.1</v>
      </c>
      <c r="Q19" s="1">
        <v>3.05</v>
      </c>
      <c r="R19" s="1">
        <v>33.1</v>
      </c>
      <c r="S19" s="2">
        <v>1.6</v>
      </c>
      <c r="AE19" s="1">
        <v>3.05</v>
      </c>
      <c r="AF19" s="2">
        <v>1.6</v>
      </c>
    </row>
    <row r="20" spans="1:43" x14ac:dyDescent="0.35">
      <c r="A20" s="3" t="s">
        <v>20</v>
      </c>
      <c r="B20" s="3">
        <v>28</v>
      </c>
      <c r="C20" s="2">
        <v>1.6</v>
      </c>
      <c r="E20" s="5"/>
      <c r="Q20" t="s">
        <v>25</v>
      </c>
      <c r="R20" s="1">
        <v>32</v>
      </c>
      <c r="S20" s="2">
        <v>8.8000000000000007</v>
      </c>
      <c r="AD20" t="s">
        <v>26</v>
      </c>
      <c r="AE20" s="1">
        <v>4.6100000000000003</v>
      </c>
      <c r="AF20" s="2">
        <v>8.8000000000000007</v>
      </c>
    </row>
    <row r="21" spans="1:43" x14ac:dyDescent="0.35">
      <c r="B21" s="3">
        <v>27.4</v>
      </c>
      <c r="C21" s="2">
        <v>8.8000000000000007</v>
      </c>
      <c r="F21" s="12" t="s">
        <v>33</v>
      </c>
      <c r="G21" s="12"/>
      <c r="H21" s="12"/>
      <c r="I21" s="12"/>
      <c r="J21" s="12"/>
      <c r="K21" s="12"/>
      <c r="L21" s="12"/>
      <c r="M21" s="12"/>
      <c r="N21" s="12"/>
      <c r="R21" s="1">
        <v>32</v>
      </c>
      <c r="S21" s="2">
        <v>9.1</v>
      </c>
      <c r="U21" s="12" t="s">
        <v>35</v>
      </c>
      <c r="V21" s="12"/>
      <c r="W21" s="12"/>
      <c r="X21" s="12"/>
      <c r="Y21" s="12"/>
      <c r="Z21" s="12"/>
      <c r="AA21" s="12"/>
      <c r="AB21" s="12"/>
      <c r="AC21" s="12"/>
      <c r="AE21" s="1">
        <v>4.87</v>
      </c>
      <c r="AF21" s="2">
        <v>9.1</v>
      </c>
      <c r="AI21" s="12" t="s">
        <v>36</v>
      </c>
      <c r="AJ21" s="12"/>
      <c r="AK21" s="12"/>
      <c r="AL21" s="12"/>
      <c r="AM21" s="12"/>
      <c r="AN21" s="12"/>
      <c r="AO21" s="12"/>
      <c r="AP21" s="12"/>
      <c r="AQ21" s="12"/>
    </row>
    <row r="22" spans="1:43" x14ac:dyDescent="0.35">
      <c r="B22" s="3">
        <v>28</v>
      </c>
      <c r="C22" s="2">
        <v>9.1</v>
      </c>
      <c r="F22" s="12"/>
      <c r="G22" s="12"/>
      <c r="H22" s="12"/>
      <c r="I22" s="12"/>
      <c r="J22" s="12"/>
      <c r="K22" s="12"/>
      <c r="L22" s="12"/>
      <c r="M22" s="12"/>
      <c r="N22" s="12"/>
      <c r="R22" s="1">
        <v>33.6</v>
      </c>
      <c r="S22" s="2">
        <v>9.3000000000000007</v>
      </c>
      <c r="U22" s="12"/>
      <c r="V22" s="12"/>
      <c r="W22" s="12"/>
      <c r="X22" s="12"/>
      <c r="Y22" s="12"/>
      <c r="Z22" s="12"/>
      <c r="AA22" s="12"/>
      <c r="AB22" s="12"/>
      <c r="AC22" s="12"/>
      <c r="AE22" s="1">
        <v>5.19</v>
      </c>
      <c r="AF22" s="2">
        <v>9.3000000000000007</v>
      </c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x14ac:dyDescent="0.35">
      <c r="B23" s="3">
        <v>27.8</v>
      </c>
      <c r="C23" s="2">
        <v>9.3000000000000007</v>
      </c>
      <c r="F23" s="12"/>
      <c r="G23" s="12"/>
      <c r="H23" s="12"/>
      <c r="I23" s="12"/>
      <c r="J23" s="12"/>
      <c r="K23" s="12"/>
      <c r="L23" s="12"/>
      <c r="M23" s="12"/>
      <c r="N23" s="12"/>
      <c r="R23" s="1">
        <v>34.799999999999997</v>
      </c>
      <c r="S23" s="2">
        <v>9.6</v>
      </c>
      <c r="U23" s="12"/>
      <c r="V23" s="12"/>
      <c r="W23" s="12"/>
      <c r="X23" s="12"/>
      <c r="Y23" s="12"/>
      <c r="Z23" s="12"/>
      <c r="AA23" s="12"/>
      <c r="AB23" s="12"/>
      <c r="AC23" s="12"/>
      <c r="AE23" s="1">
        <v>5.59</v>
      </c>
      <c r="AF23" s="2">
        <v>9.6</v>
      </c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x14ac:dyDescent="0.35">
      <c r="B24" s="3">
        <v>28</v>
      </c>
      <c r="C24" s="2">
        <v>9.6</v>
      </c>
      <c r="R24" s="1">
        <v>33.6</v>
      </c>
      <c r="S24" s="2">
        <v>9.9</v>
      </c>
      <c r="AE24" s="1">
        <v>5.38</v>
      </c>
      <c r="AF24" s="2">
        <v>9.9</v>
      </c>
    </row>
    <row r="25" spans="1:43" x14ac:dyDescent="0.35">
      <c r="B25" s="3">
        <v>28.5</v>
      </c>
      <c r="C25" s="2">
        <v>9.9</v>
      </c>
      <c r="R25" s="1">
        <v>33.1</v>
      </c>
      <c r="S25" s="2">
        <v>10.8</v>
      </c>
      <c r="AE25" s="1">
        <v>5.25</v>
      </c>
      <c r="AF25" s="2">
        <v>10.8</v>
      </c>
    </row>
    <row r="26" spans="1:43" x14ac:dyDescent="0.35">
      <c r="B26" s="3">
        <v>28</v>
      </c>
      <c r="C26" s="2">
        <v>10.8</v>
      </c>
      <c r="R26" s="1">
        <v>33.1</v>
      </c>
      <c r="S26" s="2">
        <v>11.1</v>
      </c>
      <c r="AE26" s="1">
        <v>5.7</v>
      </c>
      <c r="AF26" s="2">
        <v>11.1</v>
      </c>
    </row>
    <row r="27" spans="1:43" x14ac:dyDescent="0.35">
      <c r="B27" s="3">
        <v>27.6</v>
      </c>
      <c r="C27" s="2">
        <v>11.1</v>
      </c>
      <c r="R27" s="1">
        <v>30.3</v>
      </c>
      <c r="S27" s="2">
        <v>11.9</v>
      </c>
      <c r="AE27" s="1">
        <v>4.53</v>
      </c>
      <c r="AF27" s="2">
        <v>11.9</v>
      </c>
    </row>
    <row r="28" spans="1:43" x14ac:dyDescent="0.35">
      <c r="B28" s="3">
        <v>27.7</v>
      </c>
      <c r="C28" s="2">
        <v>11.9</v>
      </c>
      <c r="R28" s="1">
        <v>32.5</v>
      </c>
      <c r="S28" s="2">
        <v>11.1</v>
      </c>
      <c r="AE28" s="1">
        <v>4.8</v>
      </c>
      <c r="AF28" s="2">
        <v>11.1</v>
      </c>
    </row>
    <row r="29" spans="1:43" x14ac:dyDescent="0.35">
      <c r="B29" s="3">
        <v>27.5</v>
      </c>
      <c r="C29" s="2">
        <v>11.1</v>
      </c>
      <c r="R29" s="1">
        <v>36</v>
      </c>
      <c r="S29" s="2">
        <v>10.3</v>
      </c>
      <c r="AE29" s="1">
        <v>4.3899999999999997</v>
      </c>
      <c r="AF29" s="2">
        <v>10.3</v>
      </c>
    </row>
    <row r="30" spans="1:43" x14ac:dyDescent="0.35">
      <c r="B30" s="3">
        <v>28.1</v>
      </c>
      <c r="C30" s="2">
        <v>10.3</v>
      </c>
      <c r="R30" s="1">
        <v>34.799999999999997</v>
      </c>
      <c r="S30" s="2">
        <v>8.8000000000000007</v>
      </c>
      <c r="AE30" s="1">
        <v>3.8</v>
      </c>
      <c r="AF30" s="2">
        <v>8.8000000000000007</v>
      </c>
    </row>
    <row r="31" spans="1:43" x14ac:dyDescent="0.35">
      <c r="B31" s="3">
        <v>28.3</v>
      </c>
      <c r="C31" s="2">
        <v>8.8000000000000007</v>
      </c>
      <c r="R31" s="1">
        <v>34.200000000000003</v>
      </c>
      <c r="S31" s="2">
        <v>6.9</v>
      </c>
      <c r="AE31" s="1">
        <v>5.23</v>
      </c>
      <c r="AF31" s="2">
        <v>6.9</v>
      </c>
    </row>
    <row r="32" spans="1:43" x14ac:dyDescent="0.35">
      <c r="B32" s="3">
        <v>28.5</v>
      </c>
      <c r="C32" s="2">
        <v>6.9</v>
      </c>
      <c r="R32" s="1">
        <v>33.1</v>
      </c>
      <c r="S32" s="2">
        <v>5.2</v>
      </c>
      <c r="AE32" s="1">
        <v>4.54</v>
      </c>
      <c r="AF32" s="2">
        <v>5.2</v>
      </c>
    </row>
    <row r="33" spans="2:43" x14ac:dyDescent="0.35">
      <c r="B33" s="3">
        <v>28.3</v>
      </c>
      <c r="C33" s="2">
        <v>5.2</v>
      </c>
      <c r="R33" s="1">
        <v>32.5</v>
      </c>
      <c r="S33" s="2">
        <v>2.8</v>
      </c>
      <c r="AE33" s="1">
        <v>4.8</v>
      </c>
      <c r="AF33" s="2">
        <v>2.8</v>
      </c>
    </row>
    <row r="34" spans="2:43" x14ac:dyDescent="0.35">
      <c r="B34" s="3">
        <v>27.7</v>
      </c>
      <c r="C34" s="2">
        <v>2.8</v>
      </c>
      <c r="R34" s="1">
        <v>32.5</v>
      </c>
      <c r="S34" s="2">
        <v>1.5</v>
      </c>
      <c r="AE34" s="1">
        <v>4.32</v>
      </c>
      <c r="AF34" s="2">
        <v>1.5</v>
      </c>
    </row>
    <row r="35" spans="2:43" x14ac:dyDescent="0.35">
      <c r="B35" s="3">
        <v>27.7</v>
      </c>
      <c r="C35" s="2">
        <v>1.5</v>
      </c>
      <c r="R35" s="1">
        <v>33.6</v>
      </c>
      <c r="S35" s="2">
        <v>0.7</v>
      </c>
      <c r="AE35" s="1">
        <v>4.43</v>
      </c>
      <c r="AF35" s="2">
        <v>0.7</v>
      </c>
    </row>
    <row r="36" spans="2:43" x14ac:dyDescent="0.35">
      <c r="B36" s="3">
        <v>28.1</v>
      </c>
      <c r="C36" s="2">
        <v>0.7</v>
      </c>
      <c r="R36" s="1">
        <v>34.200000000000003</v>
      </c>
      <c r="S36" s="2">
        <v>0.5</v>
      </c>
      <c r="AE36" s="1">
        <v>5.49</v>
      </c>
      <c r="AF36" s="2">
        <v>0.5</v>
      </c>
    </row>
    <row r="37" spans="2:43" x14ac:dyDescent="0.35">
      <c r="B37" s="3">
        <v>28</v>
      </c>
      <c r="C37" s="2">
        <v>0.5</v>
      </c>
      <c r="R37" s="1">
        <v>33.1</v>
      </c>
      <c r="S37" s="2">
        <v>1.4</v>
      </c>
      <c r="AE37" s="1">
        <v>4.87</v>
      </c>
      <c r="AF37" s="2">
        <v>1.4</v>
      </c>
    </row>
    <row r="38" spans="2:43" x14ac:dyDescent="0.35">
      <c r="B38" s="3">
        <v>28.2</v>
      </c>
      <c r="C38" s="2">
        <v>1.4</v>
      </c>
    </row>
    <row r="43" spans="2:43" x14ac:dyDescent="0.35">
      <c r="F43" s="12" t="s">
        <v>34</v>
      </c>
      <c r="G43" s="12"/>
      <c r="H43" s="12"/>
      <c r="I43" s="12"/>
      <c r="J43" s="12"/>
      <c r="K43" s="12"/>
      <c r="L43" s="12"/>
      <c r="M43" s="12"/>
      <c r="N43" s="12"/>
    </row>
    <row r="44" spans="2:43" x14ac:dyDescent="0.35">
      <c r="F44" s="12"/>
      <c r="G44" s="12"/>
      <c r="H44" s="12"/>
      <c r="I44" s="12"/>
      <c r="J44" s="12"/>
      <c r="K44" s="12"/>
      <c r="L44" s="12"/>
      <c r="M44" s="12"/>
      <c r="N44" s="12"/>
      <c r="U44" s="12" t="s">
        <v>37</v>
      </c>
      <c r="V44" s="12"/>
      <c r="W44" s="12"/>
      <c r="X44" s="12"/>
      <c r="Y44" s="12"/>
      <c r="Z44" s="12"/>
      <c r="AA44" s="12"/>
      <c r="AB44" s="12"/>
      <c r="AC44" s="12"/>
      <c r="AI44" s="12" t="s">
        <v>38</v>
      </c>
      <c r="AJ44" s="12"/>
      <c r="AK44" s="12"/>
      <c r="AL44" s="12"/>
      <c r="AM44" s="12"/>
      <c r="AN44" s="12"/>
      <c r="AO44" s="12"/>
      <c r="AP44" s="12"/>
      <c r="AQ44" s="12"/>
    </row>
    <row r="45" spans="2:43" x14ac:dyDescent="0.35">
      <c r="F45" s="12"/>
      <c r="G45" s="12"/>
      <c r="H45" s="12"/>
      <c r="I45" s="12"/>
      <c r="J45" s="12"/>
      <c r="K45" s="12"/>
      <c r="L45" s="12"/>
      <c r="M45" s="12"/>
      <c r="N45" s="12"/>
      <c r="U45" s="12"/>
      <c r="V45" s="12"/>
      <c r="W45" s="12"/>
      <c r="X45" s="12"/>
      <c r="Y45" s="12"/>
      <c r="Z45" s="12"/>
      <c r="AA45" s="12"/>
      <c r="AB45" s="12"/>
      <c r="AC45" s="12"/>
      <c r="AI45" s="12"/>
      <c r="AJ45" s="12"/>
      <c r="AK45" s="12"/>
      <c r="AL45" s="12"/>
      <c r="AM45" s="12"/>
      <c r="AN45" s="12"/>
      <c r="AO45" s="12"/>
      <c r="AP45" s="12"/>
      <c r="AQ45" s="12"/>
    </row>
    <row r="46" spans="2:43" x14ac:dyDescent="0.35">
      <c r="U46" s="12"/>
      <c r="V46" s="12"/>
      <c r="W46" s="12"/>
      <c r="X46" s="12"/>
      <c r="Y46" s="12"/>
      <c r="Z46" s="12"/>
      <c r="AA46" s="12"/>
      <c r="AB46" s="12"/>
      <c r="AC46" s="12"/>
      <c r="AI46" s="12"/>
      <c r="AJ46" s="12"/>
      <c r="AK46" s="12"/>
      <c r="AL46" s="12"/>
      <c r="AM46" s="12"/>
      <c r="AN46" s="12"/>
      <c r="AO46" s="12"/>
      <c r="AP46" s="12"/>
      <c r="AQ46" s="12"/>
    </row>
  </sheetData>
  <mergeCells count="8">
    <mergeCell ref="AI21:AQ23"/>
    <mergeCell ref="AI44:AQ46"/>
    <mergeCell ref="A1:C1"/>
    <mergeCell ref="R1:S1"/>
    <mergeCell ref="F21:N23"/>
    <mergeCell ref="F43:N45"/>
    <mergeCell ref="U21:AC23"/>
    <mergeCell ref="U44:AC4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5B44-640E-45BA-9482-DE5CA7B9DD5B}">
  <dimension ref="B1:O55"/>
  <sheetViews>
    <sheetView workbookViewId="0">
      <selection activeCell="F26" sqref="F26"/>
    </sheetView>
  </sheetViews>
  <sheetFormatPr defaultRowHeight="14.5" x14ac:dyDescent="0.35"/>
  <cols>
    <col min="2" max="2" width="16.54296875" customWidth="1"/>
  </cols>
  <sheetData>
    <row r="1" spans="2:5" x14ac:dyDescent="0.35">
      <c r="B1" s="4" t="s">
        <v>0</v>
      </c>
      <c r="C1" s="4" t="s">
        <v>22</v>
      </c>
      <c r="D1" s="4" t="s">
        <v>23</v>
      </c>
      <c r="E1" s="4" t="s">
        <v>21</v>
      </c>
    </row>
    <row r="2" spans="2:5" x14ac:dyDescent="0.35">
      <c r="B2" s="2">
        <v>9.4</v>
      </c>
      <c r="C2" s="3">
        <v>33</v>
      </c>
      <c r="D2" s="1">
        <v>33.6</v>
      </c>
      <c r="E2" s="1">
        <v>6.19</v>
      </c>
    </row>
    <row r="3" spans="2:5" x14ac:dyDescent="0.35">
      <c r="B3" s="2">
        <v>9.8000000000000007</v>
      </c>
      <c r="C3" s="3">
        <v>30.2</v>
      </c>
      <c r="D3" s="1">
        <v>36</v>
      </c>
      <c r="E3" s="1">
        <v>4.59</v>
      </c>
    </row>
    <row r="4" spans="2:5" x14ac:dyDescent="0.35">
      <c r="B4" s="2">
        <v>10.1</v>
      </c>
      <c r="C4" s="3">
        <v>30.5</v>
      </c>
      <c r="D4" s="1">
        <v>36</v>
      </c>
      <c r="E4" s="1">
        <v>5.61</v>
      </c>
    </row>
    <row r="5" spans="2:5" x14ac:dyDescent="0.35">
      <c r="B5" s="2">
        <v>10.5</v>
      </c>
      <c r="C5" s="3">
        <v>29.2</v>
      </c>
      <c r="D5" s="1">
        <v>34.200000000000003</v>
      </c>
      <c r="E5" s="1">
        <v>4.87</v>
      </c>
    </row>
    <row r="6" spans="2:5" x14ac:dyDescent="0.35">
      <c r="B6" s="2">
        <v>10.7</v>
      </c>
      <c r="C6" s="3">
        <v>29.8</v>
      </c>
      <c r="D6" s="1">
        <v>33.6</v>
      </c>
      <c r="E6" s="1">
        <v>4.47</v>
      </c>
    </row>
    <row r="7" spans="2:5" x14ac:dyDescent="0.35">
      <c r="B7" s="2">
        <v>11</v>
      </c>
      <c r="C7" s="3">
        <v>27.8</v>
      </c>
      <c r="D7" s="1">
        <v>34.299999999999997</v>
      </c>
      <c r="E7" s="1">
        <v>2.92</v>
      </c>
    </row>
    <row r="8" spans="2:5" x14ac:dyDescent="0.35">
      <c r="B8" s="2">
        <v>11.6</v>
      </c>
      <c r="C8" s="3">
        <v>32.5</v>
      </c>
      <c r="D8" s="1">
        <v>34.200000000000003</v>
      </c>
      <c r="E8" s="1">
        <v>4.67</v>
      </c>
    </row>
    <row r="9" spans="2:5" x14ac:dyDescent="0.35">
      <c r="B9" s="2">
        <v>12.5</v>
      </c>
      <c r="C9" s="3">
        <v>29.5</v>
      </c>
      <c r="D9" s="1">
        <v>32.5</v>
      </c>
      <c r="E9" s="1">
        <v>5.31</v>
      </c>
    </row>
    <row r="10" spans="2:5" x14ac:dyDescent="0.35">
      <c r="B10" s="2">
        <v>11.5</v>
      </c>
      <c r="C10" s="3">
        <v>29.3</v>
      </c>
      <c r="D10" s="1">
        <v>33.6</v>
      </c>
      <c r="E10" s="1">
        <v>5.71</v>
      </c>
    </row>
    <row r="11" spans="2:5" x14ac:dyDescent="0.35">
      <c r="B11" s="2">
        <v>10.7</v>
      </c>
      <c r="C11" s="3">
        <v>29.1</v>
      </c>
      <c r="D11" s="1">
        <v>34.799999999999997</v>
      </c>
      <c r="E11" s="1">
        <v>4.8899999999999997</v>
      </c>
    </row>
    <row r="12" spans="2:5" x14ac:dyDescent="0.35">
      <c r="B12" s="2">
        <v>9.1</v>
      </c>
      <c r="C12" s="3">
        <v>28.4</v>
      </c>
      <c r="D12" s="1">
        <v>34.799999999999997</v>
      </c>
      <c r="E12" s="1">
        <v>5.34</v>
      </c>
    </row>
    <row r="13" spans="2:5" x14ac:dyDescent="0.35">
      <c r="B13" s="2">
        <v>7.2</v>
      </c>
      <c r="C13" s="3">
        <v>28.4</v>
      </c>
      <c r="D13" s="1">
        <v>34.200000000000003</v>
      </c>
      <c r="E13" s="1">
        <v>3.76</v>
      </c>
    </row>
    <row r="14" spans="2:5" x14ac:dyDescent="0.35">
      <c r="B14" s="2">
        <v>5.5</v>
      </c>
      <c r="C14" s="3">
        <v>32.6</v>
      </c>
      <c r="D14" s="1">
        <v>34.799999999999997</v>
      </c>
      <c r="E14" s="1">
        <v>5.52</v>
      </c>
    </row>
    <row r="15" spans="2:5" x14ac:dyDescent="0.35">
      <c r="B15" s="2">
        <v>3.1</v>
      </c>
      <c r="C15" s="3">
        <v>30</v>
      </c>
      <c r="D15" s="1">
        <v>33.5</v>
      </c>
      <c r="E15" s="1">
        <v>4.76</v>
      </c>
    </row>
    <row r="16" spans="2:5" x14ac:dyDescent="0.35">
      <c r="B16" s="2">
        <v>1.9</v>
      </c>
      <c r="C16" s="3">
        <v>30.1</v>
      </c>
      <c r="D16" s="1">
        <v>34.200000000000003</v>
      </c>
      <c r="E16" s="1">
        <v>5.67</v>
      </c>
    </row>
    <row r="17" spans="2:15" x14ac:dyDescent="0.35">
      <c r="B17" s="2">
        <v>0.9</v>
      </c>
      <c r="C17" s="3">
        <v>28.3</v>
      </c>
      <c r="D17" s="1">
        <v>33.1</v>
      </c>
      <c r="E17" s="1">
        <v>6.11</v>
      </c>
    </row>
    <row r="18" spans="2:15" x14ac:dyDescent="0.35">
      <c r="B18" s="2">
        <v>0.7</v>
      </c>
      <c r="C18" s="3">
        <v>28.6</v>
      </c>
      <c r="D18" s="1">
        <v>33.6</v>
      </c>
      <c r="E18" s="1">
        <v>5.05</v>
      </c>
    </row>
    <row r="19" spans="2:15" x14ac:dyDescent="0.35">
      <c r="B19" s="2">
        <v>1.6</v>
      </c>
      <c r="C19" s="3">
        <v>28</v>
      </c>
      <c r="D19" s="1">
        <v>33.1</v>
      </c>
      <c r="E19" s="1">
        <v>3.05</v>
      </c>
    </row>
    <row r="20" spans="2:15" x14ac:dyDescent="0.35">
      <c r="B20" s="4" t="s">
        <v>1</v>
      </c>
      <c r="C20" s="4" t="s">
        <v>22</v>
      </c>
      <c r="D20" s="4" t="s">
        <v>23</v>
      </c>
      <c r="E20" s="4" t="s">
        <v>21</v>
      </c>
    </row>
    <row r="21" spans="2:15" x14ac:dyDescent="0.35">
      <c r="B21" s="2">
        <v>8.8000000000000007</v>
      </c>
      <c r="C21" s="3">
        <v>27.4</v>
      </c>
      <c r="D21" s="1">
        <v>32</v>
      </c>
      <c r="E21" s="1">
        <v>4.6100000000000003</v>
      </c>
    </row>
    <row r="22" spans="2:15" x14ac:dyDescent="0.35">
      <c r="B22" s="2">
        <v>9.1</v>
      </c>
      <c r="C22" s="3">
        <v>28</v>
      </c>
      <c r="D22" s="1">
        <v>32</v>
      </c>
      <c r="E22" s="1">
        <v>4.87</v>
      </c>
      <c r="G22" s="14" t="s">
        <v>39</v>
      </c>
      <c r="H22" s="14"/>
      <c r="I22" s="14"/>
      <c r="J22" s="14"/>
      <c r="K22" s="14"/>
      <c r="L22" s="14"/>
      <c r="M22" s="14"/>
      <c r="N22" s="14"/>
      <c r="O22" s="14"/>
    </row>
    <row r="23" spans="2:15" x14ac:dyDescent="0.35">
      <c r="B23" s="2">
        <v>9.3000000000000007</v>
      </c>
      <c r="C23" s="3">
        <v>27.8</v>
      </c>
      <c r="D23" s="1">
        <v>33.6</v>
      </c>
      <c r="E23" s="1">
        <v>5.19</v>
      </c>
      <c r="G23" s="14"/>
      <c r="H23" s="14"/>
      <c r="I23" s="14"/>
      <c r="J23" s="14"/>
      <c r="K23" s="14"/>
      <c r="L23" s="14"/>
      <c r="M23" s="14"/>
      <c r="N23" s="14"/>
      <c r="O23" s="14"/>
    </row>
    <row r="24" spans="2:15" x14ac:dyDescent="0.35">
      <c r="B24" s="2">
        <v>9.6</v>
      </c>
      <c r="C24" s="3">
        <v>28</v>
      </c>
      <c r="D24" s="1">
        <v>34.799999999999997</v>
      </c>
      <c r="E24" s="1">
        <v>5.59</v>
      </c>
      <c r="G24" s="14"/>
      <c r="H24" s="14"/>
      <c r="I24" s="14"/>
      <c r="J24" s="14"/>
      <c r="K24" s="14"/>
      <c r="L24" s="14"/>
      <c r="M24" s="14"/>
      <c r="N24" s="14"/>
      <c r="O24" s="14"/>
    </row>
    <row r="25" spans="2:15" x14ac:dyDescent="0.35">
      <c r="B25" s="2">
        <v>9.9</v>
      </c>
      <c r="C25" s="3">
        <v>28.5</v>
      </c>
      <c r="D25" s="1">
        <v>33.6</v>
      </c>
      <c r="E25" s="1">
        <v>5.38</v>
      </c>
    </row>
    <row r="26" spans="2:15" x14ac:dyDescent="0.35">
      <c r="B26" s="2">
        <v>10.8</v>
      </c>
      <c r="C26" s="3">
        <v>28</v>
      </c>
      <c r="D26" s="1">
        <v>33.1</v>
      </c>
      <c r="E26" s="1">
        <v>5.25</v>
      </c>
    </row>
    <row r="27" spans="2:15" x14ac:dyDescent="0.35">
      <c r="B27" s="2">
        <v>11.1</v>
      </c>
      <c r="C27" s="3">
        <v>27.6</v>
      </c>
      <c r="D27" s="1">
        <v>33.1</v>
      </c>
      <c r="E27" s="1">
        <v>5.7</v>
      </c>
    </row>
    <row r="28" spans="2:15" x14ac:dyDescent="0.35">
      <c r="B28" s="2">
        <v>11.9</v>
      </c>
      <c r="C28" s="3">
        <v>27.7</v>
      </c>
      <c r="D28" s="1">
        <v>30.3</v>
      </c>
      <c r="E28" s="1">
        <v>4.53</v>
      </c>
    </row>
    <row r="29" spans="2:15" x14ac:dyDescent="0.35">
      <c r="B29" s="2">
        <v>11.1</v>
      </c>
      <c r="C29" s="3">
        <v>27.5</v>
      </c>
      <c r="D29" s="1">
        <v>32.5</v>
      </c>
      <c r="E29" s="1">
        <v>4.8</v>
      </c>
    </row>
    <row r="30" spans="2:15" x14ac:dyDescent="0.35">
      <c r="B30" s="2">
        <v>10.3</v>
      </c>
      <c r="C30" s="3">
        <v>28.1</v>
      </c>
      <c r="D30" s="1">
        <v>36</v>
      </c>
      <c r="E30" s="1">
        <v>4.3899999999999997</v>
      </c>
    </row>
    <row r="31" spans="2:15" x14ac:dyDescent="0.35">
      <c r="B31" s="2">
        <v>8.8000000000000007</v>
      </c>
      <c r="C31" s="3">
        <v>28.3</v>
      </c>
      <c r="D31" s="1">
        <v>34.799999999999997</v>
      </c>
      <c r="E31" s="1">
        <v>3.8</v>
      </c>
    </row>
    <row r="32" spans="2:15" x14ac:dyDescent="0.35">
      <c r="B32" s="2">
        <v>6.9</v>
      </c>
      <c r="C32" s="3">
        <v>28.5</v>
      </c>
      <c r="D32" s="1">
        <v>34.200000000000003</v>
      </c>
      <c r="E32" s="1">
        <v>5.23</v>
      </c>
    </row>
    <row r="33" spans="2:5" x14ac:dyDescent="0.35">
      <c r="B33" s="2">
        <v>5.2</v>
      </c>
      <c r="C33" s="3">
        <v>28.3</v>
      </c>
      <c r="D33" s="1">
        <v>33.1</v>
      </c>
      <c r="E33" s="1">
        <v>4.54</v>
      </c>
    </row>
    <row r="34" spans="2:5" x14ac:dyDescent="0.35">
      <c r="B34" s="2">
        <v>2.8</v>
      </c>
      <c r="C34" s="3">
        <v>27.7</v>
      </c>
      <c r="D34" s="1">
        <v>32.5</v>
      </c>
      <c r="E34" s="1">
        <v>4.8</v>
      </c>
    </row>
    <row r="35" spans="2:5" x14ac:dyDescent="0.35">
      <c r="B35" s="2">
        <v>1.5</v>
      </c>
      <c r="C35" s="3">
        <v>27.7</v>
      </c>
      <c r="D35" s="1">
        <v>32.5</v>
      </c>
      <c r="E35" s="1">
        <v>4.32</v>
      </c>
    </row>
    <row r="36" spans="2:5" x14ac:dyDescent="0.35">
      <c r="B36" s="2">
        <v>0.7</v>
      </c>
      <c r="C36" s="3">
        <v>28.1</v>
      </c>
      <c r="D36" s="1">
        <v>33.6</v>
      </c>
      <c r="E36" s="1">
        <v>4.43</v>
      </c>
    </row>
    <row r="37" spans="2:5" x14ac:dyDescent="0.35">
      <c r="B37" s="2">
        <v>0.5</v>
      </c>
      <c r="C37" s="3">
        <v>28</v>
      </c>
      <c r="D37" s="1">
        <v>34.200000000000003</v>
      </c>
      <c r="E37" s="1">
        <v>5.49</v>
      </c>
    </row>
    <row r="38" spans="2:5" x14ac:dyDescent="0.35">
      <c r="B38" s="2">
        <v>1.4</v>
      </c>
      <c r="C38" s="3">
        <v>28.2</v>
      </c>
      <c r="D38" s="1">
        <v>33.1</v>
      </c>
      <c r="E38" s="1">
        <v>4.87</v>
      </c>
    </row>
    <row r="53" spans="7:15" x14ac:dyDescent="0.35">
      <c r="G53" s="14" t="s">
        <v>40</v>
      </c>
      <c r="H53" s="14"/>
      <c r="I53" s="14"/>
      <c r="J53" s="14"/>
      <c r="K53" s="14"/>
      <c r="L53" s="14"/>
      <c r="M53" s="14"/>
      <c r="N53" s="14"/>
      <c r="O53" s="14"/>
    </row>
    <row r="54" spans="7:15" x14ac:dyDescent="0.35">
      <c r="G54" s="14"/>
      <c r="H54" s="14"/>
      <c r="I54" s="14"/>
      <c r="J54" s="14"/>
      <c r="K54" s="14"/>
      <c r="L54" s="14"/>
      <c r="M54" s="14"/>
      <c r="N54" s="14"/>
      <c r="O54" s="14"/>
    </row>
    <row r="55" spans="7:15" x14ac:dyDescent="0.35">
      <c r="G55" s="14"/>
      <c r="H55" s="14"/>
      <c r="I55" s="14"/>
      <c r="J55" s="14"/>
      <c r="K55" s="14"/>
      <c r="L55" s="14"/>
      <c r="M55" s="14"/>
      <c r="N55" s="14"/>
      <c r="O55" s="14"/>
    </row>
  </sheetData>
  <mergeCells count="2">
    <mergeCell ref="G22:O24"/>
    <mergeCell ref="G53:O5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B503-F79A-44FA-BE8C-CBF9826E6903}">
  <dimension ref="B2:M22"/>
  <sheetViews>
    <sheetView workbookViewId="0">
      <selection activeCell="B1" sqref="B1"/>
    </sheetView>
  </sheetViews>
  <sheetFormatPr defaultRowHeight="14.5" x14ac:dyDescent="0.35"/>
  <cols>
    <col min="2" max="2" width="32.453125" customWidth="1"/>
    <col min="3" max="3" width="17.81640625" customWidth="1"/>
  </cols>
  <sheetData>
    <row r="2" spans="2:3" x14ac:dyDescent="0.35">
      <c r="B2" t="s">
        <v>27</v>
      </c>
      <c r="C2" t="s">
        <v>31</v>
      </c>
    </row>
    <row r="3" spans="2:3" x14ac:dyDescent="0.35">
      <c r="B3" t="s">
        <v>28</v>
      </c>
      <c r="C3">
        <v>1E-4</v>
      </c>
    </row>
    <row r="4" spans="2:3" x14ac:dyDescent="0.35">
      <c r="B4" t="s">
        <v>29</v>
      </c>
      <c r="C4">
        <v>1.4999999999999999E-2</v>
      </c>
    </row>
    <row r="5" spans="2:3" x14ac:dyDescent="0.35">
      <c r="B5" t="s">
        <v>30</v>
      </c>
      <c r="C5">
        <v>0.89500000000000002</v>
      </c>
    </row>
    <row r="20" spans="4:13" x14ac:dyDescent="0.35">
      <c r="D20" s="12" t="s">
        <v>32</v>
      </c>
      <c r="E20" s="12"/>
      <c r="F20" s="12"/>
      <c r="G20" s="12"/>
      <c r="H20" s="12"/>
      <c r="I20" s="12"/>
      <c r="J20" s="12"/>
      <c r="K20" s="12"/>
      <c r="L20" s="12"/>
      <c r="M20" s="12"/>
    </row>
    <row r="21" spans="4:13" x14ac:dyDescent="0.35"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4:13" x14ac:dyDescent="0.35">
      <c r="D22" s="12"/>
      <c r="E22" s="12"/>
      <c r="F22" s="12"/>
      <c r="G22" s="12"/>
      <c r="H22" s="12"/>
      <c r="I22" s="12"/>
      <c r="J22" s="12"/>
      <c r="K22" s="12"/>
      <c r="L22" s="12"/>
      <c r="M22" s="12"/>
    </row>
  </sheetData>
  <mergeCells count="1">
    <mergeCell ref="D20:M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Ansyari</dc:creator>
  <cp:lastModifiedBy>Juli Yandi Rahman</cp:lastModifiedBy>
  <dcterms:created xsi:type="dcterms:W3CDTF">2024-01-03T09:17:51Z</dcterms:created>
  <dcterms:modified xsi:type="dcterms:W3CDTF">2025-02-05T14:31:13Z</dcterms:modified>
</cp:coreProperties>
</file>